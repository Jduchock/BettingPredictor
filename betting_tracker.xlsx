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FC 329" sheetId="2" state="visible" r:id="rId2"/>
    <sheet xmlns:r="http://schemas.openxmlformats.org/officeDocument/2006/relationships" name="World Cup 2026" sheetId="3" state="visible" r:id="rId3"/>
    <sheet xmlns:r="http://schemas.openxmlformats.org/officeDocument/2006/relationships" name="MLB Jul 12" sheetId="4" state="visible" r:id="rId4"/>
    <sheet xmlns:r="http://schemas.openxmlformats.org/officeDocument/2006/relationships" name="NASCAR Jul 12" sheetId="5" state="visible" r:id="rId5"/>
    <sheet xmlns:r="http://schemas.openxmlformats.org/officeDocument/2006/relationships" name="References" sheetId="6" state="visible" r:id="rId6"/>
    <sheet xmlns:r="http://schemas.openxmlformats.org/officeDocument/2006/relationships" name="WNBA Jul 12" sheetId="7" state="visible" r:id="rId7"/>
    <sheet xmlns:r="http://schemas.openxmlformats.org/officeDocument/2006/relationships" name="The Open" sheetId="8" state="visible" r:id="rId8"/>
    <sheet xmlns:r="http://schemas.openxmlformats.org/officeDocument/2006/relationships" name="HR Derby" sheetId="9" state="visible" r:id="rId9"/>
    <sheet xmlns:r="http://schemas.openxmlformats.org/officeDocument/2006/relationships" name="WNBA Jul 15" sheetId="10" state="visible" r:id="rId10"/>
    <sheet xmlns:r="http://schemas.openxmlformats.org/officeDocument/2006/relationships" name="Rugby Jul 18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\$#,##0.00;&quot;($&quot;#,##0.00\);\-"/>
    <numFmt numFmtId="166" formatCode="\$#,##0.00"/>
    <numFmt numFmtId="167" formatCode="\+0;\-0"/>
    <numFmt numFmtId="168" formatCode="0.0%"/>
    <numFmt numFmtId="169" formatCode="0.0&quot; exp. wins&quot;"/>
    <numFmt numFmtId="170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3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61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color rgb="FF0000FF"/>
      <sz val="9"/>
    </font>
    <font>
      <name val="Arial"/>
      <charset val="1"/>
      <family val="0"/>
      <color rgb="FF666666"/>
      <sz val="9"/>
    </font>
    <font>
      <name val="Arial"/>
      <charset val="1"/>
      <family val="0"/>
      <i val="1"/>
      <color rgb="FF9C6500"/>
      <sz val="9"/>
    </font>
    <font>
      <name val="Arial"/>
      <charset val="1"/>
      <family val="0"/>
      <b val="1"/>
      <color rgb="FF1B7A3D"/>
      <sz val="10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9C6500"/>
      <sz val="9"/>
    </font>
    <font>
      <name val="Arial"/>
      <charset val="1"/>
      <family val="0"/>
      <sz val="10"/>
    </font>
  </fonts>
  <fills count="15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8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8" borderId="1" applyAlignment="1" pivotButton="0" quotePrefix="0" xfId="0">
      <alignment horizontal="general" vertical="center"/>
    </xf>
    <xf numFmtId="0" fontId="7" fillId="8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/>
    </xf>
    <xf numFmtId="0" fontId="10" fillId="11" borderId="1" applyAlignment="1" pivotButton="0" quotePrefix="0" xfId="0">
      <alignment horizontal="general" vertical="center"/>
    </xf>
    <xf numFmtId="167" fontId="13" fillId="11" borderId="1" applyAlignment="1" pivotButton="0" quotePrefix="0" xfId="0">
      <alignment horizontal="center" vertical="center"/>
    </xf>
    <xf numFmtId="164" fontId="13" fillId="11" borderId="1" applyAlignment="1" pivotButton="0" quotePrefix="0" xfId="0">
      <alignment horizontal="center" vertical="center"/>
    </xf>
    <xf numFmtId="166" fontId="10" fillId="11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8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8" borderId="1" applyAlignment="1" pivotButton="0" quotePrefix="0" xfId="0">
      <alignment horizontal="general" vertical="center"/>
    </xf>
    <xf numFmtId="0" fontId="7" fillId="8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/>
    </xf>
    <xf numFmtId="0" fontId="10" fillId="11" borderId="1" applyAlignment="1" pivotButton="0" quotePrefix="0" xfId="0">
      <alignment horizontal="general" vertical="center"/>
    </xf>
    <xf numFmtId="167" fontId="13" fillId="11" borderId="1" applyAlignment="1" pivotButton="0" quotePrefix="0" xfId="0">
      <alignment horizontal="center" vertical="center"/>
    </xf>
    <xf numFmtId="164" fontId="13" fillId="11" borderId="1" applyAlignment="1" pivotButton="0" quotePrefix="0" xfId="0">
      <alignment horizontal="center" vertical="center"/>
    </xf>
    <xf numFmtId="166" fontId="10" fillId="11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2A44"/>
    <outlinePr summaryBelow="1" summaryRight="1"/>
    <pageSetUpPr fitToPage="0"/>
  </sheetPr>
  <dimension ref="A1:M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85" min="1" max="1"/>
    <col width="34" customWidth="1" style="85" min="2" max="2"/>
    <col width="13" customWidth="1" style="85" min="3" max="3"/>
    <col width="11" customWidth="1" style="85" min="4" max="4"/>
    <col width="10" customWidth="1" style="85" min="5" max="5"/>
    <col width="13" customWidth="1" style="85" min="6" max="8"/>
    <col width="15" customWidth="1" style="85" min="9" max="9"/>
    <col width="46" customWidth="1" style="85" min="10" max="10"/>
  </cols>
  <sheetData>
    <row r="1" ht="17.25" customHeight="1" s="86">
      <c r="A1" s="87" t="inlineStr">
        <is>
          <t>BETTING TEST ACCOUNT — ROLL-UP DASHBOARD</t>
        </is>
      </c>
    </row>
    <row r="2" ht="15" customHeight="1" s="86">
      <c r="A2" s="88" t="inlineStr">
        <is>
          <t>Account rules: $5,000 total account · max $1,000 staked per card · max 4 cards active at any time. QUEUED cards hold no money and don't count against the cap. Settled cards archive after 7 days.</t>
        </is>
      </c>
    </row>
    <row r="4" ht="15" customHeight="1" s="86">
      <c r="A4" s="89" t="inlineStr">
        <is>
          <t>ACCOUNT SUMMARY</t>
        </is>
      </c>
    </row>
    <row r="5" ht="15" customHeight="1" s="86">
      <c r="A5" s="90" t="inlineStr">
        <is>
          <t>Starting Account</t>
        </is>
      </c>
      <c r="B5" s="91" t="n">
        <v>5000</v>
      </c>
    </row>
    <row r="6" ht="15" customHeight="1" s="86">
      <c r="A6" s="90" t="inlineStr">
        <is>
          <t>Net P/L to Date (all cards)</t>
        </is>
      </c>
      <c r="B6" s="92">
        <f>H25</f>
        <v/>
      </c>
    </row>
    <row r="7" ht="15" customHeight="1" s="86">
      <c r="A7" s="90" t="inlineStr">
        <is>
          <t>Current Account Balance</t>
        </is>
      </c>
      <c r="B7" s="93">
        <f>B5+B6</f>
        <v/>
      </c>
    </row>
    <row r="8" ht="15" customHeight="1" s="86">
      <c r="A8" s="90" t="inlineStr">
        <is>
          <t>At Risk (stakes on pending bets)</t>
        </is>
      </c>
      <c r="B8" s="94">
        <f>F25</f>
        <v/>
      </c>
    </row>
    <row r="9" ht="15" customHeight="1" s="86">
      <c r="A9" s="90" t="inlineStr">
        <is>
          <t>Available to Deploy</t>
        </is>
      </c>
      <c r="B9" s="93">
        <f>B7-B8</f>
        <v/>
      </c>
    </row>
    <row r="10" ht="15" customHeight="1" s="86">
      <c r="A10" s="90" t="inlineStr">
        <is>
          <t>Active Cards</t>
        </is>
      </c>
      <c r="B10" s="95">
        <f>COUNTIF(D16:D24,"ACTIVE")&amp;" of 4 max"</f>
        <v/>
      </c>
    </row>
    <row r="11" ht="15" customHeight="1" s="86">
      <c r="A11" s="90" t="inlineStr">
        <is>
          <t>Per-Card Stake Cap</t>
        </is>
      </c>
      <c r="B11" s="96" t="inlineStr">
        <is>
          <t>$1,000 (UFC card staked $1,050 — pre-dates rule; grandfathered)</t>
        </is>
      </c>
    </row>
    <row r="14" ht="15" customHeight="1" s="86">
      <c r="A14" s="89" t="inlineStr">
        <is>
          <t>CARD TIMELINE — SORTED BY NEXT ACTION (settled at bottom)</t>
        </is>
      </c>
      <c r="K14" s="85" t="n"/>
      <c r="L14" s="85" t="n"/>
      <c r="M14" s="85" t="n"/>
    </row>
    <row r="15" ht="25.5" customHeight="1" s="86">
      <c r="A15" s="97" t="inlineStr">
        <is>
          <t>#</t>
        </is>
      </c>
      <c r="B15" s="97" t="inlineStr">
        <is>
          <t>Card / Event</t>
        </is>
      </c>
      <c r="C15" s="97" t="inlineStr">
        <is>
          <t>Event Date(s)</t>
        </is>
      </c>
      <c r="D15" s="97" t="inlineStr">
        <is>
          <t>Status</t>
        </is>
      </c>
      <c r="E15" s="97" t="inlineStr">
        <is>
          <t>Staked</t>
        </is>
      </c>
      <c r="F15" s="97" t="inlineStr">
        <is>
          <t>At Risk (pending)</t>
        </is>
      </c>
      <c r="G15" s="97" t="inlineStr">
        <is>
          <t>Returned to Date</t>
        </is>
      </c>
      <c r="H15" s="97" t="inlineStr">
        <is>
          <t>Net P/L to Date</t>
        </is>
      </c>
      <c r="I15" s="98" t="n"/>
      <c r="J15" s="98" t="n"/>
      <c r="K15" s="85" t="n"/>
      <c r="L15" s="85" t="n"/>
      <c r="M15" s="85" t="n"/>
    </row>
    <row r="16" ht="15" customHeight="1" s="86">
      <c r="A16" s="99" t="n">
        <v>9</v>
      </c>
      <c r="B16" s="100" t="inlineStr">
        <is>
          <t>WNBA Wednesday Slate</t>
        </is>
      </c>
      <c r="C16" s="99" t="inlineStr">
        <is>
          <t>2026-07-15</t>
        </is>
      </c>
      <c r="D16" s="101" t="inlineStr">
        <is>
          <t>SETTLED</t>
        </is>
      </c>
      <c r="E16" s="102">
        <f>SUM('WNBA Jul 15'!F7:F13)</f>
        <v/>
      </c>
      <c r="F16" s="102">
        <f>SUMIF('WNBA Jul 15'!I7:I13,"Pending",'WNBA Jul 15'!F7:F13)</f>
        <v/>
      </c>
      <c r="G16" s="102">
        <f>SUM('WNBA Jul 15'!J7:J13)</f>
        <v/>
      </c>
      <c r="H16" s="102">
        <f>SUM('WNBA Jul 15'!K7:K13)</f>
        <v/>
      </c>
      <c r="I16" s="103" t="n"/>
      <c r="J16" s="104" t="n"/>
      <c r="K16" s="85" t="n"/>
      <c r="L16" s="85" t="n"/>
      <c r="M16" s="85" t="n"/>
    </row>
    <row r="17" ht="15" customHeight="1" s="86">
      <c r="A17" s="99" t="n">
        <v>2</v>
      </c>
      <c r="B17" s="100" t="inlineStr">
        <is>
          <t>World Cup 2026 — Final Four</t>
        </is>
      </c>
      <c r="C17" s="99" t="inlineStr">
        <is>
          <t>Jul 14-19</t>
        </is>
      </c>
      <c r="D17" s="101" t="inlineStr">
        <is>
          <t>SETTLED</t>
        </is>
      </c>
      <c r="E17" s="102">
        <f>SUM('World Cup 2026'!F7:F13)</f>
        <v/>
      </c>
      <c r="F17" s="102">
        <f>SUMIF('World Cup 2026'!I7:I13,"Pending",'World Cup 2026'!F7:F13)</f>
        <v/>
      </c>
      <c r="G17" s="102">
        <f>SUM('World Cup 2026'!J7:J13)</f>
        <v/>
      </c>
      <c r="H17" s="102">
        <f>SUM('World Cup 2026'!K7:K13)</f>
        <v/>
      </c>
      <c r="I17" s="103" t="n"/>
      <c r="J17" s="104" t="n"/>
      <c r="K17" s="85" t="n"/>
      <c r="L17" s="85" t="n"/>
      <c r="M17" s="85" t="n"/>
    </row>
    <row r="18" ht="15" customHeight="1" s="86">
      <c r="A18" s="105" t="n">
        <v>6</v>
      </c>
      <c r="B18" s="106" t="inlineStr">
        <is>
          <t>The Open Championship (golf)</t>
        </is>
      </c>
      <c r="C18" s="105" t="inlineStr">
        <is>
          <t>Jul 16-19</t>
        </is>
      </c>
      <c r="D18" s="107" t="inlineStr">
        <is>
          <t>ACTIVE</t>
        </is>
      </c>
      <c r="E18" s="108">
        <f>SUM('The Open'!F7:F17)</f>
        <v/>
      </c>
      <c r="F18" s="108">
        <f>SUMIF('The Open'!I7:I17,"Pending",'The Open'!F7:F17)</f>
        <v/>
      </c>
      <c r="G18" s="108">
        <f>SUM('The Open'!J7:J17)</f>
        <v/>
      </c>
      <c r="H18" s="108">
        <f>SUM('The Open'!K7:K17)</f>
        <v/>
      </c>
      <c r="I18" s="103" t="n"/>
      <c r="J18" s="104" t="n"/>
      <c r="K18" s="85" t="n"/>
      <c r="L18" s="85" t="n"/>
      <c r="M18" s="85" t="n"/>
    </row>
    <row r="19" ht="15" customHeight="1" s="86">
      <c r="A19" s="105" t="n">
        <v>7</v>
      </c>
      <c r="B19" s="106" t="inlineStr">
        <is>
          <t>Rugby Nations Cup — Final Rd</t>
        </is>
      </c>
      <c r="C19" s="105" t="inlineStr">
        <is>
          <t>2026-07-18</t>
        </is>
      </c>
      <c r="D19" s="107" t="inlineStr">
        <is>
          <t>ACTIVE</t>
        </is>
      </c>
      <c r="E19" s="108">
        <f>SUM('Rugby Jul 18'!F7:F9)</f>
        <v/>
      </c>
      <c r="F19" s="108">
        <f>SUMIF('Rugby Jul 18'!I7:I9,"Pending",'Rugby Jul 18'!F7:F9)</f>
        <v/>
      </c>
      <c r="G19" s="108">
        <f>SUM('Rugby Jul 18'!J7:J9)</f>
        <v/>
      </c>
      <c r="H19" s="108">
        <f>SUM('Rugby Jul 18'!K7:K9)</f>
        <v/>
      </c>
      <c r="I19" s="103" t="n"/>
      <c r="J19" s="104" t="n"/>
      <c r="K19" s="85" t="n"/>
      <c r="L19" s="85" t="n"/>
      <c r="M19" s="85" t="n"/>
    </row>
    <row r="20" ht="15" customHeight="1" s="86">
      <c r="A20" s="99" t="n">
        <v>8</v>
      </c>
      <c r="B20" s="100" t="inlineStr">
        <is>
          <t>MLB Home Run Derby</t>
        </is>
      </c>
      <c r="C20" s="99" t="inlineStr">
        <is>
          <t>2026-07-13</t>
        </is>
      </c>
      <c r="D20" s="101" t="inlineStr">
        <is>
          <t>SETTLED</t>
        </is>
      </c>
      <c r="E20" s="102">
        <f>SUM('HR Derby'!F7:F13)</f>
        <v/>
      </c>
      <c r="F20" s="102">
        <f>SUMIF('HR Derby'!I7:I13,"Pending",'HR Derby'!F7:F13)</f>
        <v/>
      </c>
      <c r="G20" s="102">
        <f>SUM('HR Derby'!J7:J13)</f>
        <v/>
      </c>
      <c r="H20" s="102">
        <f>SUM('HR Derby'!K7:K13)</f>
        <v/>
      </c>
      <c r="I20" s="103" t="n"/>
      <c r="J20" s="104" t="n"/>
      <c r="K20" s="85" t="n"/>
      <c r="L20" s="85" t="n"/>
      <c r="M20" s="85" t="n"/>
    </row>
    <row r="21" ht="15" customHeight="1" s="86">
      <c r="A21" s="99" t="n">
        <v>4</v>
      </c>
      <c r="B21" s="100" t="inlineStr">
        <is>
          <t>NASCAR Quaker State 400</t>
        </is>
      </c>
      <c r="C21" s="99" t="inlineStr">
        <is>
          <t>2026-07-12</t>
        </is>
      </c>
      <c r="D21" s="101" t="inlineStr">
        <is>
          <t>SETTLED</t>
        </is>
      </c>
      <c r="E21" s="102">
        <f>SUM('NASCAR Jul 12'!F7:F13)</f>
        <v/>
      </c>
      <c r="F21" s="102">
        <f>SUMIF('NASCAR Jul 12'!I7:I13,"Pending",'NASCAR Jul 12'!F7:F13)</f>
        <v/>
      </c>
      <c r="G21" s="102">
        <f>SUM('NASCAR Jul 12'!J7:J13)</f>
        <v/>
      </c>
      <c r="H21" s="102">
        <f>SUM('NASCAR Jul 12'!K7:K13)</f>
        <v/>
      </c>
      <c r="I21" s="103" t="n"/>
      <c r="J21" s="104" t="n"/>
      <c r="K21" s="85" t="n"/>
      <c r="L21" s="85" t="n"/>
      <c r="M21" s="85" t="n"/>
    </row>
    <row r="22" ht="15" customHeight="1" s="86">
      <c r="A22" s="99" t="n">
        <v>5</v>
      </c>
      <c r="B22" s="100" t="inlineStr">
        <is>
          <t>WNBA Sunday Doubleheader</t>
        </is>
      </c>
      <c r="C22" s="99" t="inlineStr">
        <is>
          <t>2026-07-12</t>
        </is>
      </c>
      <c r="D22" s="101" t="inlineStr">
        <is>
          <t>SETTLED</t>
        </is>
      </c>
      <c r="E22" s="102">
        <f>SUM('WNBA Jul 12'!F7:F13)</f>
        <v/>
      </c>
      <c r="F22" s="102">
        <f>SUMIF('WNBA Jul 12'!I7:I13,"Pending",'WNBA Jul 12'!F7:F13)</f>
        <v/>
      </c>
      <c r="G22" s="102">
        <f>SUM('WNBA Jul 12'!J7:J13)</f>
        <v/>
      </c>
      <c r="H22" s="102">
        <f>SUM('WNBA Jul 12'!K7:K13)</f>
        <v/>
      </c>
      <c r="I22" s="103" t="n"/>
      <c r="J22" s="104" t="n"/>
      <c r="K22" s="85" t="n"/>
      <c r="L22" s="85" t="n"/>
      <c r="M22" s="85" t="n"/>
    </row>
    <row r="23" ht="15" customHeight="1" s="86">
      <c r="A23" s="99" t="n">
        <v>3</v>
      </c>
      <c r="B23" s="100" t="inlineStr">
        <is>
          <t>MLB Sunday Slate (15 games)</t>
        </is>
      </c>
      <c r="C23" s="99" t="inlineStr">
        <is>
          <t>2026-07-12</t>
        </is>
      </c>
      <c r="D23" s="101" t="inlineStr">
        <is>
          <t>SETTLED</t>
        </is>
      </c>
      <c r="E23" s="102">
        <f>SUM('MLB Jul 12'!F7:F14)</f>
        <v/>
      </c>
      <c r="F23" s="102">
        <f>SUMIF('MLB Jul 12'!I7:I14,"Pending",'MLB Jul 12'!F7:F14)</f>
        <v/>
      </c>
      <c r="G23" s="102">
        <f>SUM('MLB Jul 12'!J7:J14)</f>
        <v/>
      </c>
      <c r="H23" s="102">
        <f>SUM('MLB Jul 12'!K7:K14)</f>
        <v/>
      </c>
      <c r="I23" s="109" t="n"/>
      <c r="J23" s="109" t="n"/>
      <c r="K23" s="85" t="n"/>
      <c r="L23" s="85" t="n"/>
      <c r="M23" s="85" t="n"/>
    </row>
    <row r="24" ht="15" customHeight="1" s="86">
      <c r="A24" s="99" t="n">
        <v>1</v>
      </c>
      <c r="B24" s="100" t="inlineStr">
        <is>
          <t>UFC 329: McGregor vs Holloway 2</t>
        </is>
      </c>
      <c r="C24" s="99" t="inlineStr">
        <is>
          <t>2026-07-11</t>
        </is>
      </c>
      <c r="D24" s="101" t="inlineStr">
        <is>
          <t>SETTLED</t>
        </is>
      </c>
      <c r="E24" s="102">
        <f>SUM('UFC 329'!F7:F15)</f>
        <v/>
      </c>
      <c r="F24" s="102">
        <f>SUMIF('UFC 329'!I7:I15,"Pending",'UFC 329'!F7:F15)</f>
        <v/>
      </c>
      <c r="G24" s="102">
        <f>SUM('UFC 329'!J7:J15)</f>
        <v/>
      </c>
      <c r="H24" s="102">
        <f>SUM('UFC 329'!K7:K15)</f>
        <v/>
      </c>
      <c r="K24" s="85" t="n"/>
      <c r="L24" s="85" t="n"/>
      <c r="M24" s="85" t="n"/>
    </row>
    <row r="25" ht="15" customHeight="1" s="86">
      <c r="A25" s="89" t="n"/>
      <c r="B25" s="89" t="inlineStr">
        <is>
          <t>TOTALS</t>
        </is>
      </c>
      <c r="E25" s="93">
        <f>SUM(E16:E24)</f>
        <v/>
      </c>
      <c r="F25" s="93">
        <f>SUM(F16:F24)</f>
        <v/>
      </c>
      <c r="G25" s="93">
        <f>SUM(G16:G24)</f>
        <v/>
      </c>
      <c r="H25" s="93">
        <f>SUM(H16:H24)</f>
        <v/>
      </c>
      <c r="K25" s="85" t="n"/>
      <c r="L25" s="85" t="n"/>
      <c r="M25" s="85" t="n"/>
    </row>
    <row r="26" ht="15" customHeight="1" s="86">
      <c r="A26" s="110" t="n"/>
      <c r="B26" s="98" t="n"/>
      <c r="C26" s="98" t="n"/>
      <c r="D26" s="98" t="n"/>
      <c r="E26" s="98" t="n"/>
      <c r="K26" s="85" t="n"/>
      <c r="L26" s="85" t="n"/>
      <c r="M26" s="85" t="n"/>
    </row>
    <row r="27" ht="15" customHeight="1" s="86">
      <c r="A27" s="110" t="inlineStr">
        <is>
          <t>🎲 LONGSHOT TRACKER — one per card, hit/miss record</t>
        </is>
      </c>
      <c r="B27" s="98" t="n"/>
      <c r="C27" s="98" t="n"/>
      <c r="D27" s="111" t="n"/>
      <c r="E27" s="98" t="n"/>
      <c r="K27" s="85" t="n"/>
      <c r="L27" s="85" t="n"/>
      <c r="M27" s="85" t="n"/>
    </row>
    <row r="28" ht="15" customHeight="1" s="86">
      <c r="A28" s="97" t="inlineStr">
        <is>
          <t>Card</t>
        </is>
      </c>
      <c r="B28" s="97" t="inlineStr">
        <is>
          <t>Longshot</t>
        </is>
      </c>
      <c r="C28" s="97" t="inlineStr">
        <is>
          <t>Odds</t>
        </is>
      </c>
      <c r="D28" s="112" t="inlineStr">
        <is>
          <t>Stake</t>
        </is>
      </c>
      <c r="E28" s="97" t="inlineStr">
        <is>
          <t>Status</t>
        </is>
      </c>
      <c r="K28" s="85" t="n"/>
      <c r="L28" s="85" t="n"/>
      <c r="M28" s="85" t="n"/>
    </row>
    <row r="29" ht="15" customHeight="1" s="86">
      <c r="A29" s="113" t="inlineStr">
        <is>
          <t>Test 1 · UFC 329</t>
        </is>
      </c>
      <c r="B29" s="113" t="inlineStr">
        <is>
          <t>McGregor KO/TKO/Sub R1</t>
        </is>
      </c>
      <c r="C29" s="114" t="inlineStr">
        <is>
          <t>+250</t>
        </is>
      </c>
      <c r="D29" s="115" t="n">
        <v>0</v>
      </c>
      <c r="E29" s="95" t="inlineStr">
        <is>
          <t>MISS</t>
        </is>
      </c>
      <c r="K29" s="85" t="n"/>
      <c r="L29" s="85" t="n"/>
      <c r="M29" s="85" t="n"/>
    </row>
    <row r="30" ht="15" customHeight="1" s="86">
      <c r="A30" s="113" t="inlineStr">
        <is>
          <t>Test 3 · MLB Jul 12</t>
        </is>
      </c>
      <c r="B30" s="113" t="inlineStr">
        <is>
          <t>3-leg ML parlay (PIT+CIN+ATH)</t>
        </is>
      </c>
      <c r="C30" s="114" t="inlineStr">
        <is>
          <t>+732</t>
        </is>
      </c>
      <c r="D30" s="115" t="n">
        <v>50</v>
      </c>
      <c r="E30" s="95">
        <f>IF('MLB Jul 12'!I14="Win","HIT",IF('MLB Jul 12'!I14="Loss","MISS","Pending"))</f>
        <v/>
      </c>
      <c r="K30" s="85" t="n"/>
      <c r="L30" s="85" t="n"/>
      <c r="M30" s="85" t="n"/>
    </row>
    <row r="31" ht="15" customHeight="1" s="86">
      <c r="A31" s="113" t="inlineStr">
        <is>
          <t>Test 4 · NASCAR Jul 12</t>
        </is>
      </c>
      <c r="B31" s="113" t="inlineStr">
        <is>
          <t>Kyle Larson to win</t>
        </is>
      </c>
      <c r="C31" s="114" t="inlineStr">
        <is>
          <t>+1900</t>
        </is>
      </c>
      <c r="D31" s="115" t="n">
        <v>40</v>
      </c>
      <c r="E31" s="95">
        <f>IF('NASCAR Jul 12'!I13="Win","HIT",IF('NASCAR Jul 12'!I13="Loss","MISS","Pending"))</f>
        <v/>
      </c>
      <c r="K31" s="85" t="n"/>
      <c r="L31" s="85" t="n"/>
      <c r="M31" s="85" t="n"/>
    </row>
    <row r="32" ht="15" customHeight="1" s="86">
      <c r="A32" s="113" t="inlineStr">
        <is>
          <t>Test 5 · WNBA Jul 12</t>
        </is>
      </c>
      <c r="B32" s="113" t="inlineStr">
        <is>
          <t>4-leg cross-game parlay</t>
        </is>
      </c>
      <c r="C32" s="114" t="inlineStr">
        <is>
          <t>+971</t>
        </is>
      </c>
      <c r="D32" s="115" t="n">
        <v>100</v>
      </c>
      <c r="E32" s="95">
        <f>IF('WNBA Jul 12'!I13="Win","HIT",IF('WNBA Jul 12'!I13="Loss","MISS","Pending"))</f>
        <v/>
      </c>
      <c r="K32" s="85" t="n"/>
      <c r="L32" s="85" t="n"/>
      <c r="M32" s="85" t="n"/>
    </row>
    <row r="33" ht="15" customHeight="1" s="86">
      <c r="A33" s="113" t="inlineStr">
        <is>
          <t>Test 6 · The Open</t>
        </is>
      </c>
      <c r="B33" s="113" t="inlineStr">
        <is>
          <t>Brooks Koepka outright</t>
        </is>
      </c>
      <c r="C33" s="114" t="inlineStr">
        <is>
          <t>+5000</t>
        </is>
      </c>
      <c r="D33" s="115" t="n">
        <v>50</v>
      </c>
      <c r="E33" s="95">
        <f>IF('The Open'!I12="Win","HIT",IF('The Open'!I12="Loss","MISS","Pending"))</f>
        <v/>
      </c>
      <c r="K33" s="85" t="n"/>
      <c r="L33" s="85" t="n"/>
      <c r="M33" s="85" t="n"/>
    </row>
    <row r="34" ht="15" customHeight="1" s="86">
      <c r="A34" s="113" t="inlineStr">
        <is>
          <t>Test 7 · Rugby Jul 18</t>
        </is>
      </c>
      <c r="B34" s="113" t="inlineStr">
        <is>
          <t>Georgia -12.5 + USA -3.5 parlay</t>
        </is>
      </c>
      <c r="C34" s="114" t="inlineStr">
        <is>
          <t>+263</t>
        </is>
      </c>
      <c r="D34" s="115" t="n">
        <v>60</v>
      </c>
      <c r="E34" s="95">
        <f>IF('Rugby Jul 18'!I9="Win","HIT",IF('Rugby Jul 18'!I9="Loss","MISS","Pending"))</f>
        <v/>
      </c>
      <c r="K34" s="85" t="n"/>
      <c r="L34" s="85" t="n"/>
      <c r="M34" s="85" t="n"/>
    </row>
    <row r="35" ht="15" customHeight="1" s="86">
      <c r="A35" s="113" t="inlineStr">
        <is>
          <t>Test 8 · HR Derby</t>
        </is>
      </c>
      <c r="B35" s="113" t="inlineStr">
        <is>
          <t>Willson Contreras outright</t>
        </is>
      </c>
      <c r="C35" s="114" t="inlineStr">
        <is>
          <t>+1400</t>
        </is>
      </c>
      <c r="D35" s="115" t="n">
        <v>75</v>
      </c>
      <c r="E35" s="95">
        <f>IF('HR Derby'!I13="Win","HIT",IF('HR Derby'!I13="Loss","MISS","Pending"))</f>
        <v/>
      </c>
      <c r="K35" s="85" t="n"/>
      <c r="L35" s="85" t="n"/>
      <c r="M35" s="85" t="n"/>
    </row>
    <row r="36" ht="15" customHeight="1" s="86">
      <c r="A36" s="113" t="inlineStr">
        <is>
          <t>Test 9 · WNBA Jul 15</t>
        </is>
      </c>
      <c r="B36" s="113" t="inlineStr">
        <is>
          <t>4-leg cross-game parlay</t>
        </is>
      </c>
      <c r="C36" s="114" t="inlineStr">
        <is>
          <t>+1133</t>
        </is>
      </c>
      <c r="D36" s="115" t="n">
        <v>75</v>
      </c>
      <c r="E36" s="95">
        <f>IF('WNBA Jul 15'!I13="Win","HIT",IF('WNBA Jul 15'!I13="Loss","MISS","Pending"))</f>
        <v/>
      </c>
      <c r="K36" s="85" t="n"/>
      <c r="L36" s="85" t="n"/>
      <c r="M36" s="85" t="n"/>
    </row>
    <row r="37" ht="15" customHeight="1" s="86">
      <c r="A37" s="89" t="inlineStr">
        <is>
          <t>LONGSHOT HIT RATE</t>
        </is>
      </c>
      <c r="E37" s="95">
        <f>IF(COUNTIF(E29:E36,"HIT")+COUNTIF(E29:E36,"MISS")=0,"—",COUNTIF(E29:E36,"HIT")&amp;"-for-"&amp;(COUNTIF(E29:E36,"HIT")+COUNTIF(E29:E36,"MISS"))&amp;" ("&amp;TEXT(COUNTIF(E29:E36,"HIT")/(COUNTIF(E29:E36,"HIT")+COUNTIF(E29:E36,"MISS")),"0%")&amp;")")</f>
        <v/>
      </c>
      <c r="K37" s="85" t="n"/>
      <c r="L37" s="85" t="n"/>
      <c r="M37" s="85" t="n"/>
    </row>
    <row r="38" ht="15" customHeight="1" s="86">
      <c r="A38" s="88" t="inlineStr">
        <is>
          <t>Note: WC card carries an England hedge, not a longshot — excluded. UFC longshot was $0-stake and missed.</t>
        </is>
      </c>
      <c r="K38" s="85" t="n"/>
      <c r="L38" s="85" t="n"/>
      <c r="M38" s="85" t="n"/>
    </row>
    <row r="39" ht="15" customHeight="1" s="86">
      <c r="K39" s="85" t="n"/>
      <c r="L39" s="85" t="n"/>
      <c r="M39" s="85" t="n"/>
    </row>
    <row r="40" ht="15" customHeight="1" s="86">
      <c r="K40" s="85" t="n"/>
      <c r="L40" s="85" t="n"/>
      <c r="M40" s="85" t="n"/>
    </row>
    <row r="41" ht="15" customHeight="1" s="86">
      <c r="K41" s="85" t="n"/>
      <c r="L41" s="85" t="n"/>
      <c r="M41" s="85" t="n"/>
    </row>
  </sheetData>
  <conditionalFormatting sqref="H16:H23">
    <cfRule type="expression" rank="0" priority="2" equalAverage="0" aboveAverage="0" dxfId="0" text="" percent="0" bottom="0">
      <formula>AND(ISNUMBER(H16),H16&gt;0)</formula>
    </cfRule>
    <cfRule type="expression" rank="0" priority="3" equalAverage="0" aboveAverage="0" dxfId="1" text="" percent="0" bottom="0">
      <formula>AND(ISNUMBER(H16),H16&lt;0)</formula>
    </cfRule>
  </conditionalFormatting>
  <conditionalFormatting sqref="I16:I22">
    <cfRule type="expression" rank="0" priority="4" equalAverage="0" aboveAverage="0" dxfId="0" text="" percent="0" bottom="0">
      <formula>AND(ISNUMBER(I16),I16&gt;5000)</formula>
    </cfRule>
    <cfRule type="expression" rank="0" priority="5" equalAverage="0" aboveAverage="0" dxfId="1" text="" percent="0" bottom="0">
      <formula>AND(ISNUMBER(I16),I16&lt;5000)</formula>
    </cfRule>
  </conditionalFormatting>
  <conditionalFormatting sqref="B6">
    <cfRule type="expression" rank="0" priority="6" equalAverage="0" aboveAverage="0" dxfId="0" text="" percent="0" bottom="0">
      <formula>AND(ISNUMBER(B6),B6&gt;0)</formula>
    </cfRule>
    <cfRule type="expression" rank="0" priority="7" equalAverage="0" aboveAverage="0" dxfId="1" text="" percent="0" bottom="0">
      <formula>AND(ISNUMBER(B6),B6&lt;0)</formula>
    </cfRule>
  </conditionalFormatting>
  <conditionalFormatting sqref="B7">
    <cfRule type="expression" rank="0" priority="8" equalAverage="0" aboveAverage="0" dxfId="0" text="" percent="0" bottom="0">
      <formula>AND(ISNUMBER(B7),B7&gt;5000)</formula>
    </cfRule>
    <cfRule type="expression" rank="0" priority="9" equalAverage="0" aboveAverage="0" dxfId="1" text="" percent="0" bottom="0">
      <formula>AND(ISNUMBER(B7),B7&lt;5000)</formula>
    </cfRule>
  </conditionalFormatting>
  <conditionalFormatting sqref="H16:H24">
    <cfRule type="expression" rank="0" priority="10" equalAverage="0" aboveAverage="0" dxfId="0" text="" percent="0" bottom="0">
      <formula>AND(ISNUMBER(H16),H16&gt;0)</formula>
    </cfRule>
    <cfRule type="expression" rank="0" priority="11" equalAverage="0" aboveAverage="0" dxfId="1" text="" percent="0" bottom="0">
      <formula>AND(ISNUMBER(H16),H16&lt;0)</formula>
    </cfRule>
  </conditionalFormatting>
  <conditionalFormatting sqref="H16:H25">
    <cfRule type="expression" rank="0" priority="12" equalAverage="0" aboveAverage="0" dxfId="0" text="" percent="0" bottom="0">
      <formula>AND(ISNUMBER(H16),H16&gt;0)</formula>
    </cfRule>
    <cfRule type="expression" rank="0" priority="13" equalAverage="0" aboveAverage="0" dxfId="1" text="" percent="0" bottom="0">
      <formula>AND(ISNUMBER(H16),H16&lt;0)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26" customWidth="1" style="85" min="2" max="2"/>
    <col width="4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0" customWidth="1" style="85" min="12" max="12"/>
  </cols>
  <sheetData>
    <row r="1" ht="15.75" customHeight="1" s="86">
      <c r="A1" s="116" t="inlineStr">
        <is>
          <t>TEST 1 — UFC 329: McGREGOR vs HOLLOWAY 2</t>
        </is>
      </c>
      <c r="H1" s="117" t="inlineStr">
        <is>
          <t>STATUS: ARCHIVED — settled Jul 11, 2026 (drops off dashboard Jul 18)</t>
        </is>
      </c>
    </row>
    <row r="2" ht="15" customHeight="1" s="86">
      <c r="A2" s="88" t="inlineStr">
        <is>
          <t>T-Mobile Arena, Las Vegas · July 11, 2026 · Source: ufc329-betting-card.html (odds: DraftKings/BetMGM/CBS as of Jul 11, 2026)</t>
        </is>
      </c>
    </row>
    <row r="3" ht="15" customHeight="1" s="86">
      <c r="A3" s="88" t="inlineStr">
        <is>
          <t>Budget $1,000 deployed on 8 straight bets + $50 bonus parlay = $1,050 total exposure (parlay was flagged as a bonus play on the card).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Fight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4" t="n">
        <v>1</v>
      </c>
      <c r="B7" s="118" t="inlineStr">
        <is>
          <t>Max Holloway ML</t>
        </is>
      </c>
      <c r="C7" s="119" t="inlineStr">
        <is>
          <t>vs Conor McGregor · WW Main Event</t>
        </is>
      </c>
      <c r="D7" s="114" t="inlineStr">
        <is>
          <t>Moneyline</t>
        </is>
      </c>
      <c r="E7" s="120" t="n">
        <v>-265</v>
      </c>
      <c r="F7" s="121" t="n">
        <v>265</v>
      </c>
      <c r="G7" s="122">
        <f>IF(E7&gt;0,F7*E7/100,F7*100/ABS(E7))</f>
        <v/>
      </c>
      <c r="H7" s="122">
        <f>F7+G7</f>
        <v/>
      </c>
      <c r="I7" s="123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25" t="inlineStr">
        <is>
          <t>Anchor play — 78% confidence on card · RESULT: Holloway TKO (McGregor knee injury) R1 1:09</t>
        </is>
      </c>
    </row>
    <row r="8" ht="15" customHeight="1" s="86">
      <c r="A8" s="114" t="n">
        <v>2</v>
      </c>
      <c r="B8" s="118" t="inlineStr">
        <is>
          <t>Holloway by KO/TKO</t>
        </is>
      </c>
      <c r="C8" s="119" t="inlineStr">
        <is>
          <t>vs McGregor · Method of victory</t>
        </is>
      </c>
      <c r="D8" s="114" t="inlineStr">
        <is>
          <t>Prop</t>
        </is>
      </c>
      <c r="E8" s="120" t="n">
        <v>-140</v>
      </c>
      <c r="F8" s="121" t="n">
        <v>200</v>
      </c>
      <c r="G8" s="122">
        <f>IF(E8&gt;0,F8*E8/100,F8*100/ABS(E8))</f>
        <v/>
      </c>
      <c r="H8" s="122">
        <f>F8+G8</f>
        <v/>
      </c>
      <c r="I8" s="123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25" t="inlineStr">
        <is>
          <t>Card's 'best value' — predicted R3 stoppage · RESULT: Official method TKO — graded Win (injury stoppage; see note)</t>
        </is>
      </c>
    </row>
    <row r="9" ht="15" customHeight="1" s="86">
      <c r="A9" s="114" t="n">
        <v>3</v>
      </c>
      <c r="B9" s="118" t="inlineStr">
        <is>
          <t>Benoît Saint-Denis ML</t>
        </is>
      </c>
      <c r="C9" s="119" t="inlineStr">
        <is>
          <t>vs Paddy Pimblett · LW Co-Main</t>
        </is>
      </c>
      <c r="D9" s="114" t="inlineStr">
        <is>
          <t>Moneyline</t>
        </is>
      </c>
      <c r="E9" s="120" t="n">
        <v>-148</v>
      </c>
      <c r="F9" s="121" t="n">
        <v>148</v>
      </c>
      <c r="G9" s="122">
        <f>IF(E9&gt;0,F9*E9/100,F9*100/ABS(E9))</f>
        <v/>
      </c>
      <c r="H9" s="122">
        <f>F9+G9</f>
        <v/>
      </c>
      <c r="I9" s="126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25" t="inlineStr">
        <is>
          <t>4 straight stoppage wins · RESULT: Pimblett subbed BSD (D'Arce) R1 0:52</t>
        </is>
      </c>
    </row>
    <row r="10" ht="15" customHeight="1" s="86">
      <c r="A10" s="114" t="n">
        <v>4</v>
      </c>
      <c r="B10" s="118" t="inlineStr">
        <is>
          <t>Mario Bautista ML</t>
        </is>
      </c>
      <c r="C10" s="119" t="inlineStr">
        <is>
          <t>vs Cory Sandhagen · BW</t>
        </is>
      </c>
      <c r="D10" s="114" t="inlineStr">
        <is>
          <t>Moneyline</t>
        </is>
      </c>
      <c r="E10" s="120" t="n">
        <v>114</v>
      </c>
      <c r="F10" s="121" t="n">
        <v>100</v>
      </c>
      <c r="G10" s="122">
        <f>IF(E10&gt;0,F10*E10/100,F10*100/ABS(E10))</f>
        <v/>
      </c>
      <c r="H10" s="122">
        <f>F10+G10</f>
        <v/>
      </c>
      <c r="I10" s="123" t="inlineStr">
        <is>
          <t>Win</t>
        </is>
      </c>
      <c r="J10" s="122">
        <f>IF(I10="Win",F10+G10,IF(I10="Push",F10,IF(I10="Loss",0,0)))</f>
        <v/>
      </c>
      <c r="K10" s="124">
        <f>IF(I10="Pending",0,J10-F10)</f>
        <v/>
      </c>
      <c r="L10" s="125" t="inlineStr">
        <is>
          <t>10-1 in last 11, underdog value · RESULT: Bautista UD 29-28 x3</t>
        </is>
      </c>
    </row>
    <row r="11" ht="15" customHeight="1" s="86">
      <c r="A11" s="114" t="n">
        <v>5</v>
      </c>
      <c r="B11" s="118" t="inlineStr">
        <is>
          <t>Lone'er Kavanagh ML</t>
        </is>
      </c>
      <c r="C11" s="119" t="inlineStr">
        <is>
          <t>vs Brandon Royval · FLW</t>
        </is>
      </c>
      <c r="D11" s="114" t="inlineStr">
        <is>
          <t>Moneyline</t>
        </is>
      </c>
      <c r="E11" s="120" t="n">
        <v>-218</v>
      </c>
      <c r="F11" s="121" t="n">
        <v>100</v>
      </c>
      <c r="G11" s="122">
        <f>IF(E11&gt;0,F11*E11/100,F11*100/ABS(E11))</f>
        <v/>
      </c>
      <c r="H11" s="122">
        <f>F11+G11</f>
        <v/>
      </c>
      <c r="I11" s="126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25" t="inlineStr">
        <is>
          <t>Dominated Moreno; market agrees · RESULT: Royval subbed Kavanagh (RNC) R3 3:39</t>
        </is>
      </c>
    </row>
    <row r="12" ht="15" customHeight="1" s="86">
      <c r="A12" s="114" t="n">
        <v>6</v>
      </c>
      <c r="B12" s="118" t="inlineStr">
        <is>
          <t>Robert Whittaker ML</t>
        </is>
      </c>
      <c r="C12" s="119" t="inlineStr">
        <is>
          <t>vs Nikita Krylov · LHW (prelim)</t>
        </is>
      </c>
      <c r="D12" s="114" t="inlineStr">
        <is>
          <t>Moneyline</t>
        </is>
      </c>
      <c r="E12" s="120" t="n">
        <v>-125</v>
      </c>
      <c r="F12" s="121" t="n">
        <v>75</v>
      </c>
      <c r="G12" s="122">
        <f>IF(E12&gt;0,F12*E12/100,F12*100/ABS(E12))</f>
        <v/>
      </c>
      <c r="H12" s="122">
        <f>F12+G12</f>
        <v/>
      </c>
      <c r="I12" s="123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25" t="inlineStr">
        <is>
          <t>Slight edge at near-even price · RESULT: Whittaker KO (punch) R3 1:01</t>
        </is>
      </c>
    </row>
    <row r="13" ht="15" customHeight="1" s="86">
      <c r="A13" s="114" t="n">
        <v>7</v>
      </c>
      <c r="B13" s="118" t="inlineStr">
        <is>
          <t>Luke Riley ML</t>
        </is>
      </c>
      <c r="C13" s="119" t="inlineStr">
        <is>
          <t>vs Kamaka III · FW (prelim)</t>
        </is>
      </c>
      <c r="D13" s="114" t="inlineStr">
        <is>
          <t>Moneyline</t>
        </is>
      </c>
      <c r="E13" s="120" t="n">
        <v>-225</v>
      </c>
      <c r="F13" s="121" t="n">
        <v>50</v>
      </c>
      <c r="G13" s="122">
        <f>IF(E13&gt;0,F13*E13/100,F13*100/ABS(E13))</f>
        <v/>
      </c>
      <c r="H13" s="122">
        <f>F13+G13</f>
        <v/>
      </c>
      <c r="I13" s="123" t="inlineStr">
        <is>
          <t>Win</t>
        </is>
      </c>
      <c r="J13" s="122">
        <f>IF(I13="Win",F13+G13,IF(I13="Push",F13,IF(I13="Loss",0,0)))</f>
        <v/>
      </c>
      <c r="K13" s="124">
        <f>IF(I13="Pending",0,J13-F13)</f>
        <v/>
      </c>
      <c r="L13" s="125" t="inlineStr">
        <is>
          <t>Unbeaten prospect · RESULT: Riley TKO R1 3:03</t>
        </is>
      </c>
    </row>
    <row r="14" ht="15" customHeight="1" s="86">
      <c r="A14" s="114" t="n">
        <v>8</v>
      </c>
      <c r="B14" s="118" t="inlineStr">
        <is>
          <t>Damian Pinas ML</t>
        </is>
      </c>
      <c r="C14" s="119" t="inlineStr">
        <is>
          <t>vs Cesar Almeida · MW (early prelim)</t>
        </is>
      </c>
      <c r="D14" s="114" t="inlineStr">
        <is>
          <t>Moneyline</t>
        </is>
      </c>
      <c r="E14" s="120" t="n">
        <v>-258</v>
      </c>
      <c r="F14" s="121" t="n">
        <v>62</v>
      </c>
      <c r="G14" s="122">
        <f>IF(E14&gt;0,F14*E14/100,F14*100/ABS(E14))</f>
        <v/>
      </c>
      <c r="H14" s="122">
        <f>F14+G14</f>
        <v/>
      </c>
      <c r="I14" s="123" t="inlineStr">
        <is>
          <t>Win</t>
        </is>
      </c>
      <c r="J14" s="122">
        <f>IF(I14="Win",F14+G14,IF(I14="Push",F14,IF(I14="Loss",0,0)))</f>
        <v/>
      </c>
      <c r="K14" s="124">
        <f>IF(I14="Pending",0,J14-F14)</f>
        <v/>
      </c>
      <c r="L14" s="125" t="inlineStr">
        <is>
          <t>5-fight KO streak, 5.5" reach edge · RESULT: Pinas KO (punch) R1 4:44</t>
        </is>
      </c>
    </row>
    <row r="15" ht="15" customHeight="1" s="86">
      <c r="A15" s="114" t="n">
        <v>9</v>
      </c>
      <c r="B15" s="118" t="inlineStr">
        <is>
          <t>3-Leg Parlay</t>
        </is>
      </c>
      <c r="C15" s="119" t="inlineStr">
        <is>
          <t>Holloway KO/TKO + Saint-Denis ML + Bautista ML</t>
        </is>
      </c>
      <c r="D15" s="114" t="inlineStr">
        <is>
          <t>Parlay</t>
        </is>
      </c>
      <c r="E15" s="120" t="n">
        <v>443</v>
      </c>
      <c r="F15" s="121" t="n">
        <v>50</v>
      </c>
      <c r="G15" s="122">
        <f>IF(E15&gt;0,F15*E15/100,F15*100/ABS(E15))</f>
        <v/>
      </c>
      <c r="H15" s="122">
        <f>F15+G15</f>
        <v/>
      </c>
      <c r="I15" s="126" t="inlineStr">
        <is>
          <t>Loss</t>
        </is>
      </c>
      <c r="J15" s="122">
        <f>IF(I15="Win",F15+G15,IF(I15="Push",F15,IF(I15="Loss",0,0)))</f>
        <v/>
      </c>
      <c r="K15" s="124">
        <f>IF(I15="Pending",0,J15-F15)</f>
        <v/>
      </c>
      <c r="L15" s="125" t="inlineStr">
        <is>
          <t>Bonus play — combined ≈ +443 · RESULT: Parlay dead — Saint-Denis leg lost (other 2 legs won)</t>
        </is>
      </c>
    </row>
    <row r="16" ht="15" customHeight="1" s="86">
      <c r="A16" s="127" t="n"/>
      <c r="B16" s="128" t="inlineStr">
        <is>
          <t>TOTALS</t>
        </is>
      </c>
      <c r="C16" s="127" t="n"/>
      <c r="D16" s="127" t="n"/>
      <c r="E16" s="127" t="n"/>
      <c r="F16" s="129">
        <f>SUM(F7:F15)</f>
        <v/>
      </c>
      <c r="G16" s="130">
        <f>SUM(G7:G15)</f>
        <v/>
      </c>
      <c r="H16" s="130">
        <f>SUM(H7:H15)</f>
        <v/>
      </c>
      <c r="I16" s="127" t="n"/>
      <c r="J16" s="130">
        <f>SUM(J7:J15)</f>
        <v/>
      </c>
      <c r="K16" s="131">
        <f>SUM(K7:K15)</f>
        <v/>
      </c>
      <c r="L16" s="127" t="n"/>
    </row>
    <row r="18" ht="15" customHeight="1" s="86">
      <c r="B18" s="89" t="inlineStr">
        <is>
          <t>SCORECARD</t>
        </is>
      </c>
    </row>
    <row r="19" ht="15" customHeight="1" s="86">
      <c r="B19" s="118" t="inlineStr">
        <is>
          <t>Wins</t>
        </is>
      </c>
      <c r="C19" s="132">
        <f>COUNTIF(I7:I15,"Win")</f>
        <v/>
      </c>
    </row>
    <row r="20" ht="15" customHeight="1" s="86">
      <c r="B20" s="118" t="inlineStr">
        <is>
          <t>Losses</t>
        </is>
      </c>
      <c r="C20" s="132">
        <f>COUNTIF(I7:I15,"Loss")</f>
        <v/>
      </c>
    </row>
    <row r="21" ht="15" customHeight="1" s="86">
      <c r="B21" s="118" t="inlineStr">
        <is>
          <t>Pushes</t>
        </is>
      </c>
      <c r="C21" s="132">
        <f>COUNTIF(I7:I15,"Push")</f>
        <v/>
      </c>
    </row>
    <row r="22" ht="15" customHeight="1" s="86">
      <c r="B22" s="118" t="inlineStr">
        <is>
          <t>Pending</t>
        </is>
      </c>
      <c r="C22" s="132">
        <f>COUNTIF(I7:I15,"Pending")</f>
        <v/>
      </c>
    </row>
    <row r="23" ht="15" customHeight="1" s="86">
      <c r="B23" s="118" t="inlineStr">
        <is>
          <t>Hit Rate</t>
        </is>
      </c>
      <c r="C23" s="133">
        <f>IF(COUNTIF(I7:I15,"Win")+COUNTIF(I7:I15,"Loss")=0,"—",COUNTIF(I7:I15,"Win")/(COUNTIF(I7:I15,"Win")+COUNTIF(I7:I15,"Loss")))</f>
        <v/>
      </c>
    </row>
    <row r="24" ht="15" customHeight="1" s="86">
      <c r="B24" s="118" t="inlineStr">
        <is>
          <t>Total Staked</t>
        </is>
      </c>
      <c r="C24" s="115">
        <f>SUM(F7:F15)</f>
        <v/>
      </c>
    </row>
    <row r="25" ht="15" customHeight="1" s="86">
      <c r="B25" s="118" t="inlineStr">
        <is>
          <t>Total Returned</t>
        </is>
      </c>
      <c r="C25" s="122">
        <f>SUM(J7:J15)</f>
        <v/>
      </c>
    </row>
    <row r="26" ht="15" customHeight="1" s="86">
      <c r="B26" s="118" t="inlineStr">
        <is>
          <t>Net P/L</t>
        </is>
      </c>
      <c r="C26" s="124">
        <f>SUM(K7:K15)</f>
        <v/>
      </c>
    </row>
    <row r="27" ht="15" customHeight="1" s="86">
      <c r="B27" s="118" t="inlineStr">
        <is>
          <t>ROI</t>
        </is>
      </c>
      <c r="C27" s="133">
        <f>IF(SUM(F7:F15)=0,"—",SUM(K7:K15)/SUM(F7:F15))</f>
        <v/>
      </c>
    </row>
    <row r="28" ht="15" customHeight="1" s="86">
      <c r="B28" s="118" t="inlineStr">
        <is>
          <t>Max Return (all hit)</t>
        </is>
      </c>
      <c r="C28" s="122">
        <f>SUM(H7:H15)</f>
        <v/>
      </c>
    </row>
    <row r="30" ht="15" customHeight="1" s="86">
      <c r="A30" s="89" t="inlineStr">
        <is>
          <t>SKIPPED FIGHTS &amp; $0 PLAYS (tracked to grade the skip decisions — no money at stake)</t>
        </is>
      </c>
    </row>
    <row r="31" ht="34.5" customHeight="1" s="86">
      <c r="A31" s="97" t="inlineStr">
        <is>
          <t>#</t>
        </is>
      </c>
      <c r="B31" s="97" t="inlineStr">
        <is>
          <t>Fight</t>
        </is>
      </c>
      <c r="C31" s="97" t="inlineStr">
        <is>
          <t>Card Note</t>
        </is>
      </c>
      <c r="D31" s="97" t="inlineStr">
        <is>
          <t>Listed Odds</t>
        </is>
      </c>
      <c r="E31" s="97" t="inlineStr">
        <is>
          <t>Winner (fill in)</t>
        </is>
      </c>
      <c r="F31" s="97" t="inlineStr">
        <is>
          <t>Skip Verdict (fill in)</t>
        </is>
      </c>
    </row>
    <row r="32" ht="15" customHeight="1" s="86">
      <c r="A32" s="114" t="n">
        <v>1</v>
      </c>
      <c r="B32" s="118" t="inlineStr">
        <is>
          <t>Terrance McKinney vs King Green</t>
        </is>
      </c>
      <c r="C32" s="125" t="inlineStr">
        <is>
          <t>Skip — coin flip, line too short for juice</t>
        </is>
      </c>
      <c r="D32" s="134" t="inlineStr">
        <is>
          <t>-115</t>
        </is>
      </c>
      <c r="E32" s="135" t="inlineStr">
        <is>
          <t>King Green (TKO R1)</t>
        </is>
      </c>
      <c r="F32" s="135" t="inlineStr">
        <is>
          <t>GOOD SKIP — McKinney side lost</t>
        </is>
      </c>
    </row>
    <row r="33" ht="15" customHeight="1" s="86">
      <c r="A33" s="114" t="n">
        <v>2</v>
      </c>
      <c r="B33" s="118" t="inlineStr">
        <is>
          <t>Gable Steveson vs Ellison</t>
        </is>
      </c>
      <c r="C33" s="125" t="inlineStr">
        <is>
          <t>Skip — -1450 juice, no payout worth risk</t>
        </is>
      </c>
      <c r="D33" s="134" t="inlineStr">
        <is>
          <t>-1450</t>
        </is>
      </c>
      <c r="E33" s="135" t="inlineStr">
        <is>
          <t>Steveson (TKO R1)</t>
        </is>
      </c>
      <c r="F33" s="135" t="inlineStr">
        <is>
          <t>Good skip — won but -1450 payout tiny</t>
        </is>
      </c>
    </row>
    <row r="34" ht="15" customHeight="1" s="86">
      <c r="A34" s="114" t="n">
        <v>3</v>
      </c>
      <c r="B34" s="118" t="inlineStr">
        <is>
          <t>Adrian Yanez vs Cody Garbrandt</t>
        </is>
      </c>
      <c r="C34" s="125" t="inlineStr">
        <is>
          <t>Skip — -425 too juiced; Garbrandt KO risk</t>
        </is>
      </c>
      <c r="D34" s="134" t="inlineStr">
        <is>
          <t>-425</t>
        </is>
      </c>
      <c r="E34" s="135" t="inlineStr">
        <is>
          <t>Yanez (TKO R1)</t>
        </is>
      </c>
      <c r="F34" s="135" t="inlineStr">
        <is>
          <t>Fair skip — won, but -425 risk was real</t>
        </is>
      </c>
    </row>
    <row r="35" ht="15" customHeight="1" s="86">
      <c r="A35" s="114" t="n">
        <v>4</v>
      </c>
      <c r="B35" s="118" t="inlineStr">
        <is>
          <t>Farid Basharat vs Garza</t>
        </is>
      </c>
      <c r="C35" s="125" t="inlineStr">
        <is>
          <t>Skip — -675 unplayable juice</t>
        </is>
      </c>
      <c r="D35" s="134" t="inlineStr">
        <is>
          <t>-675</t>
        </is>
      </c>
      <c r="E35" s="135" t="inlineStr">
        <is>
          <t>Basharat (UD)</t>
        </is>
      </c>
      <c r="F35" s="135" t="inlineStr">
        <is>
          <t>Fair skip — won at -675, tiny payout</t>
        </is>
      </c>
    </row>
    <row r="36" ht="15" customHeight="1" s="86">
      <c r="A36" s="114" t="n">
        <v>5</v>
      </c>
      <c r="B36" s="118" t="inlineStr">
        <is>
          <t>Wang Cong vs Tracy Cortez</t>
        </is>
      </c>
      <c r="C36" s="125" t="inlineStr">
        <is>
          <t>Skip — true pick'em</t>
        </is>
      </c>
      <c r="D36" s="134" t="inlineStr">
        <is>
          <t>-118</t>
        </is>
      </c>
      <c r="E36" s="135" t="inlineStr">
        <is>
          <t>Wang Cong (UD)</t>
        </is>
      </c>
      <c r="F36" s="135" t="inlineStr">
        <is>
          <t>Neutral — true pick'em, no lean</t>
        </is>
      </c>
    </row>
    <row r="37" ht="15" customHeight="1" s="86">
      <c r="A37" s="114" t="n">
        <v>6</v>
      </c>
      <c r="B37" s="118" t="inlineStr">
        <is>
          <t>McGregor KO/TKO/Sub R1 (longshot)</t>
        </is>
      </c>
      <c r="C37" s="125" t="inlineStr">
        <is>
          <t>$0 stake — flagged as fun play only at +250</t>
        </is>
      </c>
      <c r="D37" s="134" t="inlineStr">
        <is>
          <t>+250</t>
        </is>
      </c>
      <c r="E37" s="135" t="inlineStr">
        <is>
          <t>Did not hit — McGregor lost R1</t>
        </is>
      </c>
      <c r="F37" s="135" t="inlineStr">
        <is>
          <t>GOOD $0 — would have lost stake</t>
        </is>
      </c>
    </row>
    <row r="39" ht="15" customHeight="1" s="86">
      <c r="A39" s="136" t="inlineStr">
        <is>
          <t>Yellow cells = fill in results here (Result column: Win / Loss / Push / Pending via dropdown). Blue = inputs. Black = formulas — don't overwrite.</t>
        </is>
      </c>
    </row>
    <row r="40" ht="15" customHeight="1" s="86">
      <c r="A40" s="136" t="inlineStr">
        <is>
          <t>Note: the HTML card's "$2,741 if all hit" figure overstates the true max return — the formulas here compute the correct number from odds and stakes.</t>
        </is>
      </c>
    </row>
    <row r="41" ht="15" customHeight="1" s="86">
      <c r="A41" s="136" t="inlineStr">
        <is>
          <t>Grading note: Holloway 'by KO/TKO' graded WIN — official result was TKO (R1 1:09, McGregor knee injury on jumping kick). Standard book grading follows the official method (TKO), though a few books void injury stoppages; we use official-result grading for this test.</t>
        </is>
      </c>
    </row>
  </sheetData>
  <conditionalFormatting sqref="K7:K16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6:C27">
    <cfRule type="expression" rank="0" priority="4" equalAverage="0" aboveAverage="0" dxfId="0" text="" percent="0" bottom="0">
      <formula>AND(ISNUMBER(C26),C26&gt;0)</formula>
    </cfRule>
    <cfRule type="expression" rank="0" priority="5" equalAverage="0" aboveAverage="0" dxfId="1" text="" percent="0" bottom="0">
      <formula>AND(ISNUMBER(C26),C26&lt;0)</formula>
    </cfRule>
  </conditionalFormatting>
  <dataValidations count="1">
    <dataValidation sqref="I7:I15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2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4" customWidth="1" style="85" min="12" max="12"/>
  </cols>
  <sheetData>
    <row r="1" ht="15.75" customHeight="1" s="86">
      <c r="A1" s="116" t="inlineStr">
        <is>
          <t>TEST 2 — FIFA WORLD CUP 2026: THE FINAL FOUR</t>
        </is>
      </c>
      <c r="H1" s="137" t="inlineStr">
        <is>
          <t>STATUS: SETTLED — 2-5, -$369.14 · Both semifinal sides advance against us; final is Spain-Argentina</t>
        </is>
      </c>
    </row>
    <row r="2" ht="15" customHeight="1" s="86">
      <c r="A2" s="88" t="inlineStr">
        <is>
          <t>Semifinals Jul 14-15 · Final Jul 19 (MetLife) · Source: wc2026-betting-card.html · Odds: BetMGM outrights Jul 11, FanDuel/DK semifinal openers Jul 11-12</t>
        </is>
      </c>
    </row>
    <row r="3" ht="15" customHeight="1" s="86">
      <c r="A3" s="88" t="inlineStr">
        <is>
          <t>Budget $1,000 fully deployed on 7 bets. NOTE: portfolio is hedged — Arg ML vs Draw, and France vs England outrights are mutually exclusive; best case = 5 of 7 cash (+$929).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Match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4" t="n">
        <v>1</v>
      </c>
      <c r="B7" s="118" t="inlineStr">
        <is>
          <t>France to Advance to Final</t>
        </is>
      </c>
      <c r="C7" s="119" t="inlineStr">
        <is>
          <t>vs Spain · SF1 · Tue Jul 14 (incl. ET/pens)</t>
        </is>
      </c>
      <c r="D7" s="114" t="inlineStr">
        <is>
          <t>To Advance</t>
        </is>
      </c>
      <c r="E7" s="120" t="n">
        <v>-144</v>
      </c>
      <c r="F7" s="121" t="n">
        <v>300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25" t="inlineStr">
        <is>
          <t>Anchor — 62% confidence, most complete squad left · RESULT: Spain 2-0 France — France out, ticket dead</t>
        </is>
      </c>
    </row>
    <row r="8" ht="15" customHeight="1" s="86">
      <c r="A8" s="114" t="n">
        <v>2</v>
      </c>
      <c r="B8" s="118" t="inlineStr">
        <is>
          <t>France vs Spain Under 2.5 (90')</t>
        </is>
      </c>
      <c r="C8" s="119" t="inlineStr">
        <is>
          <t>SF1 total goals</t>
        </is>
      </c>
      <c r="D8" s="114" t="inlineStr">
        <is>
          <t>Total</t>
        </is>
      </c>
      <c r="E8" s="120" t="n">
        <v>-122</v>
      </c>
      <c r="F8" s="121" t="n">
        <v>120</v>
      </c>
      <c r="G8" s="122">
        <f>IF(E8&gt;0,F8*E8/100,F8*100/ABS(E8))</f>
        <v/>
      </c>
      <c r="H8" s="122">
        <f>F8+G8</f>
        <v/>
      </c>
      <c r="I8" s="138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25" t="inlineStr">
        <is>
          <t>Spain 1 GA all tournament; France 0 GA in knockouts · RESULT: 2 goals in the match — under 2.5 cashes</t>
        </is>
      </c>
    </row>
    <row r="9" ht="15" customHeight="1" s="86">
      <c r="A9" s="114" t="n">
        <v>3</v>
      </c>
      <c r="B9" s="118" t="inlineStr">
        <is>
          <t>Argentina ML (90 min)</t>
        </is>
      </c>
      <c r="C9" s="119" t="inlineStr">
        <is>
          <t>vs England · SF2 · Wed Jul 15, Atlanta</t>
        </is>
      </c>
      <c r="D9" s="114" t="inlineStr">
        <is>
          <t>3-Way ML</t>
        </is>
      </c>
      <c r="E9" s="120" t="n">
        <v>175</v>
      </c>
      <c r="F9" s="121" t="n">
        <v>150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25" t="inlineStr">
        <is>
          <t>Messi scored in every game (8); England needed AET in QF · RESULT: Argentina 2-1 in 90 (Fernandez 85, Lautaro 90+2 after Gordon 55) — ML cashes</t>
        </is>
      </c>
    </row>
    <row r="10" ht="15" customHeight="1" s="86">
      <c r="A10" s="114" t="n">
        <v>4</v>
      </c>
      <c r="B10" s="118" t="inlineStr">
        <is>
          <t>Argentina vs England Draw (90')</t>
        </is>
      </c>
      <c r="C10" s="119" t="inlineStr">
        <is>
          <t>SF2 · pairs with Arg ML</t>
        </is>
      </c>
      <c r="D10" s="114" t="inlineStr">
        <is>
          <t>3-Way ML</t>
        </is>
      </c>
      <c r="E10" s="120" t="n">
        <v>205</v>
      </c>
      <c r="F10" s="121" t="n">
        <v>80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25" t="inlineStr">
        <is>
          <t>Structured: only England 90' win beats both tickets · RESULT: decided in regulation, no draw — ticket dead</t>
        </is>
      </c>
    </row>
    <row r="11" ht="15" customHeight="1" s="86">
      <c r="A11" s="114" t="n">
        <v>5</v>
      </c>
      <c r="B11" s="118" t="inlineStr">
        <is>
          <t>France to Win World Cup</t>
        </is>
      </c>
      <c r="C11" s="119" t="inlineStr">
        <is>
          <t>Outright · Final Jul 19</t>
        </is>
      </c>
      <c r="D11" s="114" t="inlineStr">
        <is>
          <t>Outright</t>
        </is>
      </c>
      <c r="E11" s="120" t="n">
        <v>160</v>
      </c>
      <c r="F11" s="121" t="n">
        <v>250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25" t="inlineStr">
        <is>
          <t>Book 38.5% implied vs Kalshi 40.7% — value on the favorite · RESULT: France eliminated in semis by Spain — outright dead</t>
        </is>
      </c>
    </row>
    <row r="12" ht="15" customHeight="1" s="86">
      <c r="A12" s="114" t="n">
        <v>6</v>
      </c>
      <c r="B12" s="118" t="inlineStr">
        <is>
          <t>England to Win World Cup</t>
        </is>
      </c>
      <c r="C12" s="119" t="inlineStr">
        <is>
          <t>Outright · hedge ticket</t>
        </is>
      </c>
      <c r="D12" s="114" t="inlineStr">
        <is>
          <t>Outright</t>
        </is>
      </c>
      <c r="E12" s="120" t="n">
        <v>500</v>
      </c>
      <c r="F12" s="121" t="n">
        <v>50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25" t="inlineStr">
        <is>
          <t>Pays if the coin-flip semi goes against our Argentina lean · RESULT: England eliminated in semis by Argentina — outright dead</t>
        </is>
      </c>
    </row>
    <row r="13" ht="15" customHeight="1" s="86">
      <c r="A13" s="114" t="n">
        <v>7</v>
      </c>
      <c r="B13" s="118" t="inlineStr">
        <is>
          <t>2-Leg Parlay</t>
        </is>
      </c>
      <c r="C13" s="119" t="inlineStr">
        <is>
          <t>France to Advance (-144) + Arg/Eng U2.5 (-155)</t>
        </is>
      </c>
      <c r="D13" s="114" t="inlineStr">
        <is>
          <t>Parlay</t>
        </is>
      </c>
      <c r="E13" s="120" t="n">
        <v>179</v>
      </c>
      <c r="F13" s="121" t="n">
        <v>50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25" t="inlineStr">
        <is>
          <t>Chalk + under · combined ≈ +179 · RESULT: France to Advance leg dead (and Arg-Eng went over 2.5) — parlay dead</t>
        </is>
      </c>
    </row>
    <row r="14" ht="15" customHeight="1" s="86">
      <c r="A14" s="127" t="n"/>
      <c r="B14" s="128" t="inlineStr">
        <is>
          <t>TOTALS</t>
        </is>
      </c>
      <c r="C14" s="127" t="n"/>
      <c r="D14" s="127" t="n"/>
      <c r="E14" s="127" t="n"/>
      <c r="F14" s="129">
        <f>SUM(F7:F13)</f>
        <v/>
      </c>
      <c r="G14" s="130">
        <f>SUM(G7:G13)</f>
        <v/>
      </c>
      <c r="H14" s="130">
        <f>SUM(H7:H13)</f>
        <v/>
      </c>
      <c r="I14" s="127" t="n"/>
      <c r="J14" s="130">
        <f>SUM(J7:J13)</f>
        <v/>
      </c>
      <c r="K14" s="131">
        <f>SUM(K7:K13)</f>
        <v/>
      </c>
      <c r="L14" s="127" t="n"/>
    </row>
    <row r="16" ht="15" customHeight="1" s="86">
      <c r="B16" s="89" t="inlineStr">
        <is>
          <t>SCORECARD</t>
        </is>
      </c>
    </row>
    <row r="17" ht="15" customHeight="1" s="86">
      <c r="B17" s="118" t="inlineStr">
        <is>
          <t>Wins</t>
        </is>
      </c>
      <c r="C17" s="132">
        <f>COUNTIF(I7:I13,"Win")</f>
        <v/>
      </c>
    </row>
    <row r="18" ht="15" customHeight="1" s="86">
      <c r="B18" s="118" t="inlineStr">
        <is>
          <t>Losses</t>
        </is>
      </c>
      <c r="C18" s="132">
        <f>COUNTIF(I7:I13,"Loss")</f>
        <v/>
      </c>
    </row>
    <row r="19" ht="15" customHeight="1" s="86">
      <c r="B19" s="118" t="inlineStr">
        <is>
          <t>Pushes</t>
        </is>
      </c>
      <c r="C19" s="132">
        <f>COUNTIF(I7:I13,"Push")</f>
        <v/>
      </c>
    </row>
    <row r="20" ht="15" customHeight="1" s="86">
      <c r="B20" s="118" t="inlineStr">
        <is>
          <t>Pending</t>
        </is>
      </c>
      <c r="C20" s="132">
        <f>COUNTIF(I7:I13,"Pending")</f>
        <v/>
      </c>
    </row>
    <row r="21" ht="15" customHeight="1" s="86">
      <c r="B21" s="118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118" t="inlineStr">
        <is>
          <t>Total Staked</t>
        </is>
      </c>
      <c r="C22" s="115">
        <f>SUM(F7:F13)</f>
        <v/>
      </c>
    </row>
    <row r="23" ht="15" customHeight="1" s="86">
      <c r="B23" s="118" t="inlineStr">
        <is>
          <t>Total Returned</t>
        </is>
      </c>
      <c r="C23" s="122">
        <f>SUM(J7:J13)</f>
        <v/>
      </c>
    </row>
    <row r="24" ht="15" customHeight="1" s="86">
      <c r="B24" s="118" t="inlineStr">
        <is>
          <t>Net P/L</t>
        </is>
      </c>
      <c r="C24" s="124">
        <f>SUM(K7:K13)</f>
        <v/>
      </c>
    </row>
    <row r="25" ht="15" customHeight="1" s="86">
      <c r="B25" s="118" t="inlineStr">
        <is>
          <t>ROI</t>
        </is>
      </c>
      <c r="C25" s="133">
        <f>IF(SUM(F7:F13)=0,"—",SUM(K7:K13)/SUM(F7:F13))</f>
        <v/>
      </c>
    </row>
    <row r="26" ht="15" customHeight="1" s="86">
      <c r="B26" s="118" t="inlineStr">
        <is>
          <t>Best-Case P/L (hedged book)</t>
        </is>
      </c>
      <c r="C26" s="115">
        <f>929</f>
        <v/>
      </c>
    </row>
    <row r="28" ht="15" customHeight="1" s="86">
      <c r="A28" s="89" t="inlineStr">
        <is>
          <t>SKIPPED MARKETS (tracked to grade skip decisions — no money at stake)</t>
        </is>
      </c>
    </row>
    <row r="29" ht="34.5" customHeight="1" s="86">
      <c r="A29" s="97" t="inlineStr">
        <is>
          <t>#</t>
        </is>
      </c>
      <c r="B29" s="97" t="inlineStr">
        <is>
          <t>Market</t>
        </is>
      </c>
      <c r="C29" s="97" t="inlineStr">
        <is>
          <t>Card Note</t>
        </is>
      </c>
      <c r="D29" s="97" t="inlineStr">
        <is>
          <t>Listed Odds</t>
        </is>
      </c>
      <c r="E29" s="97" t="inlineStr">
        <is>
          <t>Outcome (fill in)</t>
        </is>
      </c>
      <c r="F29" s="97" t="inlineStr">
        <is>
          <t>Skip Verdict (fill in)</t>
        </is>
      </c>
    </row>
    <row r="30" ht="15" customHeight="1" s="86">
      <c r="A30" s="114" t="n">
        <v>1</v>
      </c>
      <c r="B30" s="118" t="inlineStr">
        <is>
          <t>Spain to Win World Cup</t>
        </is>
      </c>
      <c r="C30" s="125" t="inlineStr">
        <is>
          <t>Skip — book implies 25% vs Kalshi 17%; worst price on board</t>
        </is>
      </c>
      <c r="D30" s="134" t="inlineStr">
        <is>
          <t>+300</t>
        </is>
      </c>
      <c r="E30" s="138" t="n"/>
      <c r="F30" s="138" t="n"/>
    </row>
    <row r="31" ht="15" customHeight="1" s="86">
      <c r="A31" s="114" t="n">
        <v>2</v>
      </c>
      <c r="B31" s="118" t="inlineStr">
        <is>
          <t>Argentina to Win World Cup</t>
        </is>
      </c>
      <c r="C31" s="125" t="inlineStr">
        <is>
          <t>Skip — fair price but doubles Arg ML exposure</t>
        </is>
      </c>
      <c r="D31" s="134" t="inlineStr">
        <is>
          <t>+400</t>
        </is>
      </c>
      <c r="E31" s="138" t="n"/>
      <c r="F31" s="138" t="n"/>
    </row>
    <row r="32" ht="15" customHeight="1" s="86">
      <c r="A32" s="114" t="n">
        <v>3</v>
      </c>
      <c r="B32" s="118" t="inlineStr">
        <is>
          <t>England ML 90' (vs Argentina)</t>
        </is>
      </c>
      <c r="C32" s="125" t="inlineStr">
        <is>
          <t>Skip — took the Arg/Draw structure instead</t>
        </is>
      </c>
      <c r="D32" s="134" t="inlineStr">
        <is>
          <t>+180</t>
        </is>
      </c>
      <c r="E32" s="138" t="n"/>
      <c r="F32" s="138" t="n"/>
    </row>
    <row r="33" ht="15" customHeight="1" s="86">
      <c r="A33" s="114" t="n">
        <v>4</v>
      </c>
      <c r="B33" s="118" t="inlineStr">
        <is>
          <t>France ML 90' (vs Spain)</t>
        </is>
      </c>
      <c r="C33" s="125" t="inlineStr">
        <is>
          <t>Skip — to-advance line covers the ET/pens path</t>
        </is>
      </c>
      <c r="D33" s="134" t="inlineStr">
        <is>
          <t>+130</t>
        </is>
      </c>
      <c r="E33" s="138" t="n"/>
      <c r="F33" s="138" t="n"/>
    </row>
    <row r="35" ht="15" customHeight="1" s="86">
      <c r="A35" s="136" t="inlineStr">
        <is>
          <t>Yellow cells = fill in results (Result dropdown: Win/Loss/Push/Pending). Blue = inputs. Black = formulas. Parlay 'to win' uses +179 (exact combined -144 × -155 = +178.8; ~$0.12 rounding).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6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3 — MLB SUNDAY SLATE · JULY 12, 2026</t>
        </is>
      </c>
      <c r="H1" s="117" t="inlineStr">
        <is>
          <t>STATUS: ARCHIVED — settled Jul 12 (3-5, -$197.77)</t>
        </is>
      </c>
    </row>
    <row r="2" ht="15" customHeight="1" s="86">
      <c r="A2" s="88" t="inlineStr">
        <is>
          <t>15-game slate, 8 bets · Source: mlb-jul12-betting-card.html · Lines: ESPN consensus board, Sunday AM · Research: VSiN, PickDawgz, DK Network</t>
        </is>
      </c>
    </row>
    <row r="3" ht="15" customHeight="1" s="86">
      <c r="A3" s="88" t="inlineStr">
        <is>
          <t>Budget $1,000 fully deployed. Est. Win % = our model; card expected value ≈ +$45 (~3.9 of 8 expected to cash).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118" t="inlineStr">
        <is>
          <t>Giants ML</t>
        </is>
      </c>
      <c r="C7" s="119" t="inlineStr">
        <is>
          <t>vs Rockies · McDonald vs Lorenzen (6.46 ERA)</t>
        </is>
      </c>
      <c r="D7" s="114" t="inlineStr">
        <is>
          <t>Moneyline</t>
        </is>
      </c>
      <c r="E7" s="120" t="n">
        <v>-155</v>
      </c>
      <c r="F7" s="121" t="n">
        <v>200</v>
      </c>
      <c r="G7" s="122">
        <f>IF(E7&gt;0,F7*E7/100,F7*100/ABS(E7))</f>
        <v/>
      </c>
      <c r="H7" s="122">
        <f>F7+G7</f>
        <v/>
      </c>
      <c r="I7" s="123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0.62</v>
      </c>
      <c r="M7" s="125" t="inlineStr">
        <is>
          <t>Safest play — Lorenzen 1.4 HR/9, Rockies worst road team · RESULT: SF 3-1 · Lorenzen fade lands</t>
        </is>
      </c>
    </row>
    <row r="8" ht="15" customHeight="1" s="86">
      <c r="A8" s="114" t="n">
        <v>2</v>
      </c>
      <c r="B8" s="118" t="inlineStr">
        <is>
          <t>Athletics ML</t>
        </is>
      </c>
      <c r="C8" s="119" t="inlineStr">
        <is>
          <t>@ White Sox · Ginn (2.49 road ERA) vs Schultz (5.4 BB/9)</t>
        </is>
      </c>
      <c r="D8" s="114" t="inlineStr">
        <is>
          <t>Moneyline</t>
        </is>
      </c>
      <c r="E8" s="120" t="n">
        <v>-104</v>
      </c>
      <c r="F8" s="121" t="n">
        <v>150</v>
      </c>
      <c r="G8" s="122">
        <f>IF(E8&gt;0,F8*E8/100,F8*100/ABS(E8))</f>
        <v/>
      </c>
      <c r="H8" s="122">
        <f>F8+G8</f>
        <v/>
      </c>
      <c r="I8" s="126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0.54</v>
      </c>
      <c r="M8" s="125" t="inlineStr">
        <is>
          <t>Clearest starter mismatch priced near even · RESULT: CWS 9-1 · Ginn 8 ER in 4.1, six-run 1st</t>
        </is>
      </c>
    </row>
    <row r="9" ht="15" customHeight="1" s="86">
      <c r="A9" s="114" t="n">
        <v>3</v>
      </c>
      <c r="B9" s="118" t="inlineStr">
        <is>
          <t>Tigers ML</t>
        </is>
      </c>
      <c r="C9" s="119" t="inlineStr">
        <is>
          <t>vs Phillies · Skubal vs Wheeler ace duel</t>
        </is>
      </c>
      <c r="D9" s="114" t="inlineStr">
        <is>
          <t>Moneyline</t>
        </is>
      </c>
      <c r="E9" s="120" t="n">
        <v>-115</v>
      </c>
      <c r="F9" s="121" t="n">
        <v>150</v>
      </c>
      <c r="G9" s="122">
        <f>IF(E9&gt;0,F9*E9/100,F9*100/ABS(E9))</f>
        <v/>
      </c>
      <c r="H9" s="122">
        <f>F9+G9</f>
        <v/>
      </c>
      <c r="I9" s="126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0.55</v>
      </c>
      <c r="M9" s="125" t="inlineStr">
        <is>
          <t>Bullpen edge: DET 3.10 ERA (3rd) vs PHI 5.41 (26th) since Jun 1 · RESULT: PHI 5-0 · Wheeler 10 K shutout; pen edge moot</t>
        </is>
      </c>
    </row>
    <row r="10" ht="15" customHeight="1" s="86">
      <c r="A10" s="114" t="n">
        <v>4</v>
      </c>
      <c r="B10" s="118" t="inlineStr">
        <is>
          <t>Royals @ Orioles Under 9.5</t>
        </is>
      </c>
      <c r="C10" s="119" t="inlineStr">
        <is>
          <t>Totals · Lugo vs Baz</t>
        </is>
      </c>
      <c r="D10" s="114" t="inlineStr">
        <is>
          <t>Total</t>
        </is>
      </c>
      <c r="E10" s="120" t="n">
        <v>-114</v>
      </c>
      <c r="F10" s="121" t="n">
        <v>120</v>
      </c>
      <c r="G10" s="122">
        <f>IF(E10&gt;0,F10*E10/100,F10*100/ABS(E10))</f>
        <v/>
      </c>
      <c r="H10" s="122">
        <f>F10+G10</f>
        <v/>
      </c>
      <c r="I10" s="126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0.55</v>
      </c>
      <c r="M10" s="125" t="inlineStr">
        <is>
          <t>KC last in road scoring 3.8 R/G; Baz 3.78 FIP · RESULT: BAL 8-2 · 10 combined runs, over by half a run</t>
        </is>
      </c>
    </row>
    <row r="11" ht="15" customHeight="1" s="86">
      <c r="A11" s="114" t="n">
        <v>5</v>
      </c>
      <c r="B11" s="118" t="inlineStr">
        <is>
          <t>Pirates ML</t>
        </is>
      </c>
      <c r="C11" s="119" t="inlineStr">
        <is>
          <t>vs Brewers · Skenes (2.98 FIP) at home</t>
        </is>
      </c>
      <c r="D11" s="114" t="inlineStr">
        <is>
          <t>Moneyline</t>
        </is>
      </c>
      <c r="E11" s="120" t="n">
        <v>104</v>
      </c>
      <c r="F11" s="121" t="n">
        <v>130</v>
      </c>
      <c r="G11" s="122">
        <f>IF(E11&gt;0,F11*E11/100,F11*100/ABS(E11))</f>
        <v/>
      </c>
      <c r="H11" s="122">
        <f>F11+G11</f>
        <v/>
      </c>
      <c r="I11" s="123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0.52</v>
      </c>
      <c r="M11" s="125" t="inlineStr">
        <is>
          <t>Plus money on slate's best pitcher; PIT swept Sat DH; Gasser 4.98 FIP · RESULT: PIT 14-5 F, Skenes W (5.1 IP, 7 K), Gasser 7 ER</t>
        </is>
      </c>
    </row>
    <row r="12" ht="15" customHeight="1" s="86">
      <c r="A12" s="114" t="n">
        <v>6</v>
      </c>
      <c r="B12" s="118" t="inlineStr">
        <is>
          <t>Reds ML</t>
        </is>
      </c>
      <c r="C12" s="119" t="inlineStr">
        <is>
          <t>vs Cubs · Abbott ≤3 ER in 14 straight starts</t>
        </is>
      </c>
      <c r="D12" s="114" t="inlineStr">
        <is>
          <t>Moneyline</t>
        </is>
      </c>
      <c r="E12" s="120" t="n">
        <v>108</v>
      </c>
      <c r="F12" s="121" t="n">
        <v>100</v>
      </c>
      <c r="G12" s="122">
        <f>IF(E12&gt;0,F12*E12/100,F12*100/ABS(E12))</f>
        <v/>
      </c>
      <c r="H12" s="122">
        <f>F12+G12</f>
        <v/>
      </c>
      <c r="I12" s="126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0.5</v>
      </c>
      <c r="M12" s="125" t="inlineStr">
        <is>
          <t>Home dog with the more reliable starter · RESULT: CHC 8-4 · home-dog value didn't land</t>
        </is>
      </c>
    </row>
    <row r="13" ht="15" customHeight="1" s="86">
      <c r="A13" s="114" t="n">
        <v>7</v>
      </c>
      <c r="B13" s="118" t="inlineStr">
        <is>
          <t>Mariners ML</t>
        </is>
      </c>
      <c r="C13" s="119" t="inlineStr">
        <is>
          <t>@ Rays · Hancock 3.23 vs Seymour 4.11</t>
        </is>
      </c>
      <c r="D13" s="114" t="inlineStr">
        <is>
          <t>Moneyline</t>
        </is>
      </c>
      <c r="E13" s="120" t="n">
        <v>108</v>
      </c>
      <c r="F13" s="121" t="n">
        <v>100</v>
      </c>
      <c r="G13" s="122">
        <f>IF(E13&gt;0,F13*E13/100,F13*100/ABS(E13))</f>
        <v/>
      </c>
      <c r="H13" s="122">
        <f>F13+G13</f>
        <v/>
      </c>
      <c r="I13" s="123" t="inlineStr">
        <is>
          <t>Win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0.5</v>
      </c>
      <c r="M13" s="125" t="inlineStr">
        <is>
          <t>Seymour's 6-1 record masks a 4.11 ERA · RESULT: SEA 8-2 · Crawford 3 RBI; pen covered Hancock's exit</t>
        </is>
      </c>
    </row>
    <row r="14" ht="15" customHeight="1" s="86">
      <c r="A14" s="114" t="n">
        <v>8</v>
      </c>
      <c r="B14" s="118" t="inlineStr">
        <is>
          <t>Longshot: 3-Leg ML Parlay</t>
        </is>
      </c>
      <c r="C14" s="119" t="inlineStr">
        <is>
          <t>Pirates ML +104 / Reds ML +108 / Athletics ML -104</t>
        </is>
      </c>
      <c r="D14" s="114" t="inlineStr">
        <is>
          <t>Parlay</t>
        </is>
      </c>
      <c r="E14" s="120" t="n">
        <v>732</v>
      </c>
      <c r="F14" s="121" t="n">
        <v>50</v>
      </c>
      <c r="G14" s="122">
        <f>IF(E14&gt;0,F14*E14/100,F14*100/ABS(E14))</f>
        <v/>
      </c>
      <c r="H14" s="122">
        <f>F14+G14</f>
        <v/>
      </c>
      <c r="I14" s="126" t="inlineStr">
        <is>
          <t>Loss</t>
        </is>
      </c>
      <c r="J14" s="122">
        <f>IF(I14="Win",F14+G14,IF(I14="Push",F14,IF(I14="Loss",0,0)))</f>
        <v/>
      </c>
      <c r="K14" s="124">
        <f>IF(I14="Pending",0,J14-F14)</f>
        <v/>
      </c>
      <c r="L14" s="139" t="n">
        <v>0.14</v>
      </c>
      <c r="M14" s="125" t="inlineStr">
        <is>
          <t>The mandatory longshot — stacks our three value legs · RESULT: Parlay dead — Reds &amp; A's legs lost (PIT leg won)</t>
        </is>
      </c>
    </row>
    <row r="15" ht="15" customHeight="1" s="86">
      <c r="A15" s="127" t="n"/>
      <c r="B15" s="128" t="inlineStr">
        <is>
          <t>TOTALS</t>
        </is>
      </c>
      <c r="C15" s="127" t="n"/>
      <c r="D15" s="127" t="n"/>
      <c r="E15" s="127" t="n"/>
      <c r="F15" s="129">
        <f>SUM(F7:F14)</f>
        <v/>
      </c>
      <c r="G15" s="130">
        <f>SUM(G7:G14)</f>
        <v/>
      </c>
      <c r="H15" s="130">
        <f>SUM(H7:H14)</f>
        <v/>
      </c>
      <c r="I15" s="127" t="n"/>
      <c r="J15" s="130">
        <f>SUM(J7:J14)</f>
        <v/>
      </c>
      <c r="K15" s="131">
        <f>SUM(K7:K14)</f>
        <v/>
      </c>
      <c r="L15" s="140">
        <f>SUM(L7:L14)</f>
        <v/>
      </c>
      <c r="M15" s="127" t="n"/>
    </row>
    <row r="17" ht="15" customHeight="1" s="86">
      <c r="B17" s="89" t="inlineStr">
        <is>
          <t>SCORECARD</t>
        </is>
      </c>
    </row>
    <row r="18" ht="15" customHeight="1" s="86">
      <c r="B18" s="118" t="inlineStr">
        <is>
          <t>Wins</t>
        </is>
      </c>
      <c r="C18" s="132">
        <f>COUNTIF(I7:I14,"Win")</f>
        <v/>
      </c>
    </row>
    <row r="19" ht="15" customHeight="1" s="86">
      <c r="B19" s="118" t="inlineStr">
        <is>
          <t>Losses</t>
        </is>
      </c>
      <c r="C19" s="132">
        <f>COUNTIF(I7:I14,"Loss")</f>
        <v/>
      </c>
    </row>
    <row r="20" ht="15" customHeight="1" s="86">
      <c r="B20" s="118" t="inlineStr">
        <is>
          <t>Pushes</t>
        </is>
      </c>
      <c r="C20" s="132">
        <f>COUNTIF(I7:I14,"Push")</f>
        <v/>
      </c>
    </row>
    <row r="21" ht="15" customHeight="1" s="86">
      <c r="B21" s="118" t="inlineStr">
        <is>
          <t>Pending</t>
        </is>
      </c>
      <c r="C21" s="132">
        <f>COUNTIF(I7:I14,"Pending")</f>
        <v/>
      </c>
    </row>
    <row r="22" ht="15" customHeight="1" s="86">
      <c r="B22" s="118" t="inlineStr">
        <is>
          <t>Hit Rate</t>
        </is>
      </c>
      <c r="C22" s="133">
        <f>IF(COUNTIF(I7:I14,"Win")+COUNTIF(I7:I14,"Loss")=0,"—",COUNTIF(I7:I14,"Win")/(COUNTIF(I7:I14,"Win")+COUNTIF(I7:I14,"Loss")))</f>
        <v/>
      </c>
    </row>
    <row r="23" ht="15" customHeight="1" s="86">
      <c r="B23" s="118" t="inlineStr">
        <is>
          <t>Total Staked</t>
        </is>
      </c>
      <c r="C23" s="115">
        <f>SUM(F7:F14)</f>
        <v/>
      </c>
    </row>
    <row r="24" ht="15" customHeight="1" s="86">
      <c r="B24" s="118" t="inlineStr">
        <is>
          <t>Total Returned</t>
        </is>
      </c>
      <c r="C24" s="122">
        <f>SUM(J7:J14)</f>
        <v/>
      </c>
    </row>
    <row r="25" ht="15" customHeight="1" s="86">
      <c r="B25" s="118" t="inlineStr">
        <is>
          <t>Net P/L</t>
        </is>
      </c>
      <c r="C25" s="124">
        <f>SUM(K7:K14)</f>
        <v/>
      </c>
    </row>
    <row r="26" ht="15" customHeight="1" s="86">
      <c r="B26" s="118" t="inlineStr">
        <is>
          <t>ROI</t>
        </is>
      </c>
      <c r="C26" s="133">
        <f>IF(SUM(F7:F14)=0,"—",SUM(K7:K14)/SUM(F7:F14))</f>
        <v/>
      </c>
    </row>
    <row r="27" ht="15" customHeight="1" s="86">
      <c r="B27" s="118" t="inlineStr">
        <is>
          <t>Max Return (all hit)</t>
        </is>
      </c>
      <c r="C27" s="122">
        <f>SUM(H7:H14)</f>
        <v/>
      </c>
    </row>
    <row r="28" ht="15" customHeight="1" s="86">
      <c r="B28" s="118" t="inlineStr">
        <is>
          <t>Expected Wins (model)</t>
        </is>
      </c>
      <c r="C28" s="141">
        <f>SUM(L7:L14)</f>
        <v/>
      </c>
    </row>
    <row r="29" ht="15" customHeight="1" s="86">
      <c r="B29" s="118" t="inlineStr">
        <is>
          <t>Expected Value (model)</t>
        </is>
      </c>
      <c r="C29" s="124">
        <f>SUMPRODUCT(L7:L14,G7:G14)-SUMPRODUCT(1-L7:L14,F7:F14)</f>
        <v/>
      </c>
    </row>
    <row r="31" ht="15" customHeight="1" s="86">
      <c r="A31" s="89" t="inlineStr">
        <is>
          <t>SKIPPED GAMES (tracked to grade skip decisions — no money at stake)</t>
        </is>
      </c>
    </row>
    <row r="32" ht="34.5" customHeight="1" s="86">
      <c r="A32" s="97" t="inlineStr">
        <is>
          <t>#</t>
        </is>
      </c>
      <c r="B32" s="97" t="inlineStr">
        <is>
          <t>Game</t>
        </is>
      </c>
      <c r="C32" s="97" t="inlineStr">
        <is>
          <t>Card Note</t>
        </is>
      </c>
      <c r="D32" s="97" t="inlineStr">
        <is>
          <t>Listed Line</t>
        </is>
      </c>
      <c r="E32" s="97" t="inlineStr">
        <is>
          <t>Winner (fill in)</t>
        </is>
      </c>
      <c r="F32" s="97" t="inlineStr">
        <is>
          <t>Skip Verdict (fill in)</t>
        </is>
      </c>
    </row>
    <row r="33" ht="15" customHeight="1" s="86">
      <c r="A33" s="114" t="n">
        <v>1</v>
      </c>
      <c r="B33" s="118" t="inlineStr">
        <is>
          <t>Yankees @ Nationals</t>
        </is>
      </c>
      <c r="C33" s="125" t="inlineStr">
        <is>
          <t>Skip — near coin flip, no starter edge</t>
        </is>
      </c>
      <c r="D33" s="134" t="inlineStr">
        <is>
          <t>NYY -114</t>
        </is>
      </c>
      <c r="E33" s="138" t="n"/>
      <c r="F33" s="138" t="n"/>
    </row>
    <row r="34" ht="15" customHeight="1" s="86">
      <c r="A34" s="114" t="n">
        <v>2</v>
      </c>
      <c r="B34" s="118" t="inlineStr">
        <is>
          <t>Red Sox @ Mets</t>
        </is>
      </c>
      <c r="C34" s="125" t="inlineStr">
        <is>
          <t>Skip — Tolle good but line already fair</t>
        </is>
      </c>
      <c r="D34" s="134" t="inlineStr">
        <is>
          <t>BOS -126</t>
        </is>
      </c>
      <c r="E34" s="138" t="n"/>
      <c r="F34" s="138" t="n"/>
    </row>
    <row r="35" ht="15" customHeight="1" s="86">
      <c r="A35" s="114" t="n">
        <v>3</v>
      </c>
      <c r="B35" s="118" t="inlineStr">
        <is>
          <t>Guardians @ Marlins</t>
        </is>
      </c>
      <c r="C35" s="125" t="inlineStr">
        <is>
          <t>Skip — no edge either way</t>
        </is>
      </c>
      <c r="D35" s="134" t="inlineStr">
        <is>
          <t>MIA -115</t>
        </is>
      </c>
      <c r="E35" s="138" t="n"/>
      <c r="F35" s="138" t="n"/>
    </row>
    <row r="36" ht="15" customHeight="1" s="86">
      <c r="A36" s="114" t="n">
        <v>4</v>
      </c>
      <c r="B36" s="118" t="inlineStr">
        <is>
          <t>Angels @ Twins</t>
        </is>
      </c>
      <c r="C36" s="125" t="inlineStr">
        <is>
          <t>Skip — no edge</t>
        </is>
      </c>
      <c r="D36" s="134" t="inlineStr">
        <is>
          <t>MIN -136</t>
        </is>
      </c>
      <c r="E36" s="138" t="n"/>
      <c r="F36" s="138" t="n"/>
    </row>
    <row r="37" ht="15" customHeight="1" s="86">
      <c r="A37" s="114" t="n">
        <v>5</v>
      </c>
      <c r="B37" s="118" t="inlineStr">
        <is>
          <t>Braves @ Cardinals</t>
        </is>
      </c>
      <c r="C37" s="125" t="inlineStr">
        <is>
          <t>Skip — two 4.5+ ERA starters, unpredictable</t>
        </is>
      </c>
      <c r="D37" s="134" t="inlineStr">
        <is>
          <t>STL -136</t>
        </is>
      </c>
      <c r="E37" s="138" t="n"/>
      <c r="F37" s="138" t="n"/>
    </row>
    <row r="38" ht="15" customHeight="1" s="86">
      <c r="A38" s="114" t="n">
        <v>6</v>
      </c>
      <c r="B38" s="118" t="inlineStr">
        <is>
          <t>Astros @ Rangers</t>
        </is>
      </c>
      <c r="C38" s="125" t="inlineStr">
        <is>
          <t>Skip — Javier 10.22 ERA returning, unquantifiable</t>
        </is>
      </c>
      <c r="D38" s="134" t="inlineStr">
        <is>
          <t>TEX -131</t>
        </is>
      </c>
      <c r="E38" s="138" t="n"/>
      <c r="F38" s="138" t="n"/>
    </row>
    <row r="39" ht="15" customHeight="1" s="86">
      <c r="A39" s="114" t="n">
        <v>7</v>
      </c>
      <c r="B39" s="118" t="inlineStr">
        <is>
          <t>D-backs @ Dodgers</t>
        </is>
      </c>
      <c r="C39" s="125" t="inlineStr">
        <is>
          <t>Skip — LAD -219 too juiced; ARI +178 tempting but pass</t>
        </is>
      </c>
      <c r="D39" s="134" t="inlineStr">
        <is>
          <t>LAD -219</t>
        </is>
      </c>
      <c r="E39" s="138" t="n"/>
      <c r="F39" s="138" t="n"/>
    </row>
    <row r="40" ht="15" customHeight="1" s="86">
      <c r="A40" s="114" t="n">
        <v>8</v>
      </c>
      <c r="B40" s="118" t="inlineStr">
        <is>
          <t>Blue Jays @ Padres</t>
        </is>
      </c>
      <c r="C40" s="125" t="inlineStr">
        <is>
          <t>Skip — Gausman 4-8, no edge</t>
        </is>
      </c>
      <c r="D40" s="134" t="inlineStr">
        <is>
          <t>TOR -126</t>
        </is>
      </c>
      <c r="E40" s="138" t="n"/>
      <c r="F40" s="138" t="n"/>
    </row>
    <row r="42" ht="15" customHeight="1" s="86">
      <c r="A42" s="136" t="inlineStr">
        <is>
          <t>Yellow = fill in results (dropdown: Win/Loss/Push/Pending). Blue = inputs. Black = formulas. Parlay odds +732 = (+104 × +108 × -104) compounded; grades as one bet.</t>
        </is>
      </c>
    </row>
  </sheetData>
  <conditionalFormatting sqref="K7:K15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5:C26">
    <cfRule type="expression" rank="0" priority="4" equalAverage="0" aboveAverage="0" dxfId="0" text="" percent="0" bottom="0">
      <formula>AND(ISNUMBER(C25),C25&gt;0)</formula>
    </cfRule>
    <cfRule type="expression" rank="0" priority="5" equalAverage="0" aboveAverage="0" dxfId="1" text="" percent="0" bottom="0">
      <formula>AND(ISNUMBER(C25),C25&lt;0)</formula>
    </cfRule>
  </conditionalFormatting>
  <conditionalFormatting sqref="C29">
    <cfRule type="expression" rank="0" priority="6" equalAverage="0" aboveAverage="0" dxfId="0" text="" percent="0" bottom="0">
      <formula>AND(ISNUMBER(C29),C29&gt;0)</formula>
    </cfRule>
    <cfRule type="expression" rank="0" priority="7" equalAverage="0" aboveAverage="0" dxfId="1" text="" percent="0" bottom="0">
      <formula>AND(ISNUMBER(C29),C29&lt;0)</formula>
    </cfRule>
  </conditionalFormatting>
  <dataValidations count="1">
    <dataValidation sqref="I7:I14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3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4 — NASCAR QUAKER STATE 400 · ECHOPARK SPEEDWAY (ATLANTA) · JULY 12, 2026</t>
        </is>
      </c>
      <c r="H1" s="137" t="inlineStr">
        <is>
          <t>STATUS: SETTLED — Blaney won in OT ~12:55 AM CT Mon after 3h lightning red flag · card 1-6, net -$434.51</t>
        </is>
      </c>
    </row>
    <row r="2" ht="15" customHeight="1" s="86">
      <c r="A2" s="88" t="inlineStr">
        <is>
          <t>Race ~7:00 PM ET on TNT · Source: nascar-jul12-betting-card.html · Odds: Covers/VSiN/CBS (FanDuel) consensus, Sunday PM</t>
        </is>
      </c>
    </row>
    <row r="3" ht="15" customHeight="1" s="86">
      <c r="A3" s="142" t="inlineStr">
        <is>
          <t>HIGH-VARIANCE TEST: drafting track, 38 DNFs in last 4 races. Bets 3-7 are a mutually exclusive winner basket — at most one can cash. Expected hits ~1.2 of 7 by design.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Blaney beats Byron (H2H)</t>
        </is>
      </c>
      <c r="C7" s="113" t="inlineStr">
        <is>
          <t>Head-to-head finishing matchup</t>
        </is>
      </c>
      <c r="D7" s="114" t="inlineStr">
        <is>
          <t>Matchup</t>
        </is>
      </c>
      <c r="E7" s="120" t="n">
        <v>-113</v>
      </c>
      <c r="F7" s="121" t="n">
        <v>300</v>
      </c>
      <c r="G7" s="122">
        <f>IF(E7&gt;0,F7*E7/100,F7*100/ABS(E7))</f>
        <v/>
      </c>
      <c r="H7" s="122">
        <f>F7+G7</f>
        <v/>
      </c>
      <c r="I7" s="138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0.58</v>
      </c>
      <c r="M7" s="143" t="inlineStr">
        <is>
          <t>7 top-10s in last 8 here; 1 wreck in 16 starts vs Byron's 4 in 14 · WIN — Blaney won the race outright (OT, ~12:55 AM CT Mon); H2H over Byron clinched</t>
        </is>
      </c>
    </row>
    <row r="8" ht="15" customHeight="1" s="86">
      <c r="A8" s="114" t="n">
        <v>2</v>
      </c>
      <c r="B8" s="90" t="inlineStr">
        <is>
          <t>Daniel Suarez Top-5</t>
        </is>
      </c>
      <c r="C8" s="113" t="inlineStr">
        <is>
          <t>Finishing position prop</t>
        </is>
      </c>
      <c r="D8" s="114" t="inlineStr">
        <is>
          <t>Prop</t>
        </is>
      </c>
      <c r="E8" s="120" t="n">
        <v>456</v>
      </c>
      <c r="F8" s="121" t="n">
        <v>200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0.24</v>
      </c>
      <c r="M8" s="143" t="inlineStr">
        <is>
          <t>Top-5 in 4 of last 6 Atlanta races; biggest % edge on card · LOSS — official top 5: Blaney, Bell, Hocevar, Gibbs, E. Jones; Suárez outside top 5</t>
        </is>
      </c>
    </row>
    <row r="9" ht="15" customHeight="1" s="86">
      <c r="A9" s="114" t="n">
        <v>3</v>
      </c>
      <c r="B9" s="90" t="inlineStr">
        <is>
          <t>Chase Elliott to Win</t>
        </is>
      </c>
      <c r="C9" s="113" t="inlineStr">
        <is>
          <t>Outright winner</t>
        </is>
      </c>
      <c r="D9" s="114" t="inlineStr">
        <is>
          <t>Outright</t>
        </is>
      </c>
      <c r="E9" s="120" t="n">
        <v>1150</v>
      </c>
      <c r="F9" s="121" t="n">
        <v>150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0.1</v>
      </c>
      <c r="M9" s="143" t="inlineStr">
        <is>
          <t>Defending race winner, Georgia native, Chevy won 4 of last 5 here · LOSS — Elliott did not win (Blaney P1)</t>
        </is>
      </c>
    </row>
    <row r="10" ht="15" customHeight="1" s="86">
      <c r="A10" s="114" t="n">
        <v>4</v>
      </c>
      <c r="B10" s="90" t="inlineStr">
        <is>
          <t>Carson Hocevar to Win</t>
        </is>
      </c>
      <c r="C10" s="113" t="inlineStr">
        <is>
          <t>Outright winner</t>
        </is>
      </c>
      <c r="D10" s="114" t="inlineStr">
        <is>
          <t>Outright</t>
        </is>
      </c>
      <c r="E10" s="120" t="n">
        <v>1567</v>
      </c>
      <c r="F10" s="121" t="n">
        <v>120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0.08</v>
      </c>
      <c r="M10" s="143" t="inlineStr">
        <is>
          <t>3 straight Atlanta top-10s; elite drafter · LOSS — Hocevar P3; closest of the winner basket</t>
        </is>
      </c>
    </row>
    <row r="11" ht="15" customHeight="1" s="86">
      <c r="A11" s="114" t="n">
        <v>5</v>
      </c>
      <c r="B11" s="90" t="inlineStr">
        <is>
          <t>Brad Keselowski to Win</t>
        </is>
      </c>
      <c r="C11" s="113" t="inlineStr">
        <is>
          <t>Outright winner</t>
        </is>
      </c>
      <c r="D11" s="114" t="inlineStr">
        <is>
          <t>Outright</t>
        </is>
      </c>
      <c r="E11" s="120" t="n">
        <v>1800</v>
      </c>
      <c r="F11" s="121" t="n">
        <v>100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0.07000000000000001</v>
      </c>
      <c r="M11" s="143" t="inlineStr">
        <is>
          <t>2 Atlanta wins, 6 top-3s; CBS model top pick; RFK form · LOSS — Keselowski did not win</t>
        </is>
      </c>
    </row>
    <row r="12" ht="15" customHeight="1" s="86">
      <c r="A12" s="114" t="n">
        <v>6</v>
      </c>
      <c r="B12" s="90" t="inlineStr">
        <is>
          <t>Tyler Reddick to Win</t>
        </is>
      </c>
      <c r="C12" s="113" t="inlineStr">
        <is>
          <t>Outright winner</t>
        </is>
      </c>
      <c r="D12" s="114" t="inlineStr">
        <is>
          <t>Outright</t>
        </is>
      </c>
      <c r="E12" s="120" t="n">
        <v>1150</v>
      </c>
      <c r="F12" s="121" t="n">
        <v>90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0.08</v>
      </c>
      <c r="M12" s="143" t="inlineStr">
        <is>
          <t>Drafting ace; Toyota gambled on race trim over qualifying · LOSS — Reddick did not win (P8 per post-race reports)</t>
        </is>
      </c>
    </row>
    <row r="13" ht="15" customHeight="1" s="86">
      <c r="A13" s="114" t="n">
        <v>7</v>
      </c>
      <c r="B13" s="90" t="inlineStr">
        <is>
          <t>Kyle Larson to Win (LONGSHOT)</t>
        </is>
      </c>
      <c r="C13" s="113" t="inlineStr">
        <is>
          <t>Outright winner</t>
        </is>
      </c>
      <c r="D13" s="114" t="inlineStr">
        <is>
          <t>Outright</t>
        </is>
      </c>
      <c r="E13" s="120" t="n">
        <v>1900</v>
      </c>
      <c r="F13" s="121" t="n">
        <v>40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0.05</v>
      </c>
      <c r="M13" s="143" t="inlineStr">
        <is>
          <t>Mandatory longshot — best driver at his longest price; P3 start · LOSS — Larson did not win; longshot record now 0-for-4</t>
        </is>
      </c>
    </row>
    <row r="14" ht="15" customHeight="1" s="86">
      <c r="A14" s="144" t="n"/>
      <c r="B14" s="145" t="inlineStr">
        <is>
          <t>TOTALS</t>
        </is>
      </c>
      <c r="C14" s="144" t="n"/>
      <c r="D14" s="144" t="n"/>
      <c r="E14" s="144" t="n"/>
      <c r="F14" s="129">
        <f>SUM(F7:F13)</f>
        <v/>
      </c>
      <c r="G14" s="130">
        <f>SUM(G7:G13)</f>
        <v/>
      </c>
      <c r="H14" s="130">
        <f>SUM(H7:H13)</f>
        <v/>
      </c>
      <c r="I14" s="144" t="n"/>
      <c r="J14" s="130">
        <f>SUM(J7:J13)</f>
        <v/>
      </c>
      <c r="K14" s="131">
        <f>SUM(K7:K13)</f>
        <v/>
      </c>
      <c r="L14" s="140">
        <f>SUM(L7:L13)</f>
        <v/>
      </c>
      <c r="M14" s="144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2">
        <f>COUNTIF(I7:I13,"Win")</f>
        <v/>
      </c>
    </row>
    <row r="18" ht="15" customHeight="1" s="86">
      <c r="B18" s="90" t="inlineStr">
        <is>
          <t>Losses</t>
        </is>
      </c>
      <c r="C18" s="132">
        <f>COUNTIF(I7:I13,"Loss")</f>
        <v/>
      </c>
    </row>
    <row r="19" ht="15" customHeight="1" s="86">
      <c r="B19" s="90" t="inlineStr">
        <is>
          <t>Pushes</t>
        </is>
      </c>
      <c r="C19" s="132">
        <f>COUNTIF(I7:I13,"Push")</f>
        <v/>
      </c>
    </row>
    <row r="20" ht="15" customHeight="1" s="86">
      <c r="B20" s="90" t="inlineStr">
        <is>
          <t>Pending</t>
        </is>
      </c>
      <c r="C20" s="132">
        <f>COUNTIF(I7:I13,"Pending")</f>
        <v/>
      </c>
    </row>
    <row r="21" ht="15" customHeight="1" s="86">
      <c r="B21" s="90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5">
        <f>SUM(F7:F13)</f>
        <v/>
      </c>
    </row>
    <row r="23" ht="15" customHeight="1" s="86">
      <c r="B23" s="90" t="inlineStr">
        <is>
          <t>Total Returned</t>
        </is>
      </c>
      <c r="C23" s="122">
        <f>SUM(J7:J13)</f>
        <v/>
      </c>
    </row>
    <row r="24" ht="15" customHeight="1" s="86">
      <c r="B24" s="90" t="inlineStr">
        <is>
          <t>Net P/L</t>
        </is>
      </c>
      <c r="C24" s="124">
        <f>SUM(K7:K13)</f>
        <v/>
      </c>
    </row>
    <row r="25" ht="15" customHeight="1" s="86">
      <c r="B25" s="90" t="inlineStr">
        <is>
          <t>ROI</t>
        </is>
      </c>
      <c r="C25" s="133">
        <f>IF(SUM(F7:F13)=0,"—",SUM(K7:K13)/SUM(F7:F13))</f>
        <v/>
      </c>
    </row>
    <row r="26" ht="15" customHeight="1" s="86">
      <c r="B26" s="90" t="inlineStr">
        <is>
          <t>Expected Wins (model)</t>
        </is>
      </c>
      <c r="C26" s="141">
        <f>SUM(L7:L13)</f>
        <v/>
      </c>
    </row>
    <row r="27" ht="15" customHeight="1" s="86">
      <c r="B27" s="90" t="inlineStr">
        <is>
          <t>Best-Case P/L (basket excl.)</t>
        </is>
      </c>
      <c r="C27" s="115">
        <f>2678</f>
        <v/>
      </c>
    </row>
    <row r="29" ht="15" customHeight="1" s="86">
      <c r="A29" s="136" t="inlineStr">
        <is>
          <t>Yellow = fill in results (dropdown). Blue = inputs. Black = formulas. 'Max Return' is intentionally omitted: bets 3-7 are mutually exclusive, so summing their returns would be meaningless.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85" min="1" max="1"/>
    <col width="38" customWidth="1" style="85" min="2" max="2"/>
    <col width="9" customWidth="1" style="85" min="3" max="5"/>
    <col width="11" customWidth="1" style="85" min="6" max="6"/>
    <col width="48" customWidth="1" style="85" min="7" max="7"/>
  </cols>
  <sheetData>
    <row r="1" ht="15.75" customHeight="1" s="86">
      <c r="A1" s="116" t="inlineStr">
        <is>
          <t>DATA SOURCES — WHERE THE FACTS COME FROM</t>
        </is>
      </c>
    </row>
    <row r="2" ht="15" customHeight="1" s="86">
      <c r="A2" s="88" t="inlineStr">
        <is>
          <t>Root sites queried for research, odds, and results. New rows/columns appended as future tests use new sources. Discovery via web search; sites below are where facts were actually read.</t>
        </is>
      </c>
    </row>
    <row r="4" ht="24" customHeight="1" s="86">
      <c r="A4" s="97" t="inlineStr">
        <is>
          <t>Root Site</t>
        </is>
      </c>
      <c r="B4" s="97" t="inlineStr">
        <is>
          <t>Type of Content Pulled</t>
        </is>
      </c>
      <c r="C4" s="97" t="inlineStr">
        <is>
          <t>T1 UFC</t>
        </is>
      </c>
      <c r="D4" s="97" t="inlineStr">
        <is>
          <t>T2 WC</t>
        </is>
      </c>
      <c r="E4" s="97" t="inlineStr">
        <is>
          <t>T3 MLB</t>
        </is>
      </c>
      <c r="F4" s="97" t="inlineStr">
        <is>
          <t>T4 NASCAR</t>
        </is>
      </c>
      <c r="G4" s="97" t="inlineStr">
        <is>
          <t>Notes</t>
        </is>
      </c>
    </row>
    <row r="5" ht="15" customHeight="1" s="86">
      <c r="A5" s="90" t="inlineStr">
        <is>
          <t>espn.com</t>
        </is>
      </c>
      <c r="B5" s="146" t="inlineStr">
        <is>
          <t>Odds boards, live scores, schedules, brackets</t>
        </is>
      </c>
      <c r="C5" s="147" t="n"/>
      <c r="D5" s="147" t="inlineStr">
        <is>
          <t>✓</t>
        </is>
      </c>
      <c r="E5" s="147" t="inlineStr">
        <is>
          <t>✓</t>
        </is>
      </c>
      <c r="F5" s="147" t="n"/>
      <c r="G5" s="148" t="inlineStr">
        <is>
          <t>Primary MLB odds board; WC scores</t>
        </is>
      </c>
    </row>
    <row r="6" ht="15" customHeight="1" s="86">
      <c r="A6" s="90" t="inlineStr">
        <is>
          <t>ufc.com</t>
        </is>
      </c>
      <c r="B6" s="146" t="inlineStr">
        <is>
          <t>Official UFC fight results</t>
        </is>
      </c>
      <c r="C6" s="147" t="inlineStr">
        <is>
          <t>✓</t>
        </is>
      </c>
      <c r="D6" s="147" t="n"/>
      <c r="E6" s="147" t="n"/>
      <c r="F6" s="147" t="n"/>
      <c r="G6" s="148" t="inlineStr">
        <is>
          <t>Official source used to grade Test 1</t>
        </is>
      </c>
    </row>
    <row r="7" ht="15" customHeight="1" s="86">
      <c r="A7" s="90" t="inlineStr">
        <is>
          <t>mmaweekly.com</t>
        </is>
      </c>
      <c r="B7" s="146" t="inlineStr">
        <is>
          <t>Full fight results incl. early prelims</t>
        </is>
      </c>
      <c r="C7" s="147" t="inlineStr">
        <is>
          <t>✓</t>
        </is>
      </c>
      <c r="D7" s="147" t="n"/>
      <c r="E7" s="147" t="n"/>
      <c r="F7" s="147" t="n"/>
      <c r="G7" s="148" t="inlineStr">
        <is>
          <t>Prelim results for Test 1 grading</t>
        </is>
      </c>
    </row>
    <row r="8" ht="15" customHeight="1" s="86">
      <c r="A8" s="90" t="inlineStr">
        <is>
          <t>vegasinsider.com</t>
        </is>
      </c>
      <c r="B8" s="146" t="inlineStr">
        <is>
          <t>Sportsbook odds aggregation (BetMGM)</t>
        </is>
      </c>
      <c r="C8" s="147" t="n"/>
      <c r="D8" s="147" t="inlineStr">
        <is>
          <t>✓</t>
        </is>
      </c>
      <c r="E8" s="147" t="n"/>
      <c r="F8" s="147" t="n"/>
      <c r="G8" s="148" t="inlineStr">
        <is>
          <t>WC championship futures</t>
        </is>
      </c>
    </row>
    <row r="9" ht="21.75" customHeight="1" s="86">
      <c r="A9" s="90" t="inlineStr">
        <is>
          <t>covers.com</t>
        </is>
      </c>
      <c r="B9" s="146" t="inlineStr">
        <is>
          <t>Odds, picks, prediction-market data</t>
        </is>
      </c>
      <c r="C9" s="147" t="n"/>
      <c r="D9" s="147" t="inlineStr">
        <is>
          <t>✓</t>
        </is>
      </c>
      <c r="E9" s="147" t="n"/>
      <c r="F9" s="147" t="inlineStr">
        <is>
          <t>✓</t>
        </is>
      </c>
      <c r="G9" s="148" t="inlineStr">
        <is>
          <t>WC: Kalshi probabilities (SEE CAUTION BELOW) · NASCAR: outrights, H2H, props · WNBA: Fever-Aces picks/props (T5)</t>
        </is>
      </c>
    </row>
    <row r="10" ht="15" customHeight="1" s="86">
      <c r="A10" s="90" t="inlineStr">
        <is>
          <t>dknetwork.draftkings.com</t>
        </is>
      </c>
      <c r="B10" s="146" t="inlineStr">
        <is>
          <t>DraftKings opening lines &amp; analysis</t>
        </is>
      </c>
      <c r="C10" s="147" t="n"/>
      <c r="D10" s="147" t="inlineStr">
        <is>
          <t>✓</t>
        </is>
      </c>
      <c r="E10" s="147" t="inlineStr">
        <is>
          <t>✓</t>
        </is>
      </c>
      <c r="F10" s="147" t="n"/>
      <c r="G10" s="148" t="inlineStr">
        <is>
          <t>WC semifinal openers; MLB parlay research</t>
        </is>
      </c>
    </row>
    <row r="11" ht="15" customHeight="1" s="86">
      <c r="A11" s="90" t="inlineStr">
        <is>
          <t>sports.yahoo.com</t>
        </is>
      </c>
      <c r="B11" s="146" t="inlineStr">
        <is>
          <t>Brackets, schedules, lineups, reports</t>
        </is>
      </c>
      <c r="C11" s="147" t="n"/>
      <c r="D11" s="147" t="inlineStr">
        <is>
          <t>✓</t>
        </is>
      </c>
      <c r="E11" s="147" t="n"/>
      <c r="F11" s="147" t="inlineStr">
        <is>
          <t>✓</t>
        </is>
      </c>
      <c r="G11" s="148" t="inlineStr">
        <is>
          <t>WC bracket; NASCAR starting lineup/race info</t>
        </is>
      </c>
    </row>
    <row r="12" ht="15" customHeight="1" s="86">
      <c r="A12" s="90" t="inlineStr">
        <is>
          <t>vavel.com</t>
        </is>
      </c>
      <c r="B12" s="146" t="inlineStr">
        <is>
          <t>Live match blogs</t>
        </is>
      </c>
      <c r="C12" s="147" t="n"/>
      <c r="D12" s="147" t="inlineStr">
        <is>
          <t>✓</t>
        </is>
      </c>
      <c r="E12" s="147" t="n"/>
      <c r="F12" s="147" t="n"/>
      <c r="G12" s="148" t="inlineStr">
        <is>
          <t>Live Argentina-Switzerland score</t>
        </is>
      </c>
    </row>
    <row r="13" ht="15" customHeight="1" s="86">
      <c r="A13" s="90" t="inlineStr">
        <is>
          <t>foxsports.com</t>
        </is>
      </c>
      <c r="B13" s="146" t="inlineStr">
        <is>
          <t>Odds stories, score pages</t>
        </is>
      </c>
      <c r="C13" s="147" t="n"/>
      <c r="D13" s="147" t="inlineStr">
        <is>
          <t>✓</t>
        </is>
      </c>
      <c r="E13" s="147" t="n"/>
      <c r="F13" s="147" t="n"/>
      <c r="G13" s="148" t="inlineStr">
        <is>
          <t>WC title odds context</t>
        </is>
      </c>
    </row>
    <row r="14" ht="15" customHeight="1" s="86">
      <c r="A14" s="90" t="inlineStr">
        <is>
          <t>nbcsports.com</t>
        </is>
      </c>
      <c r="B14" s="146" t="inlineStr">
        <is>
          <t>Match previews &amp; broadcast info</t>
        </is>
      </c>
      <c r="C14" s="147" t="n"/>
      <c r="D14" s="147" t="inlineStr">
        <is>
          <t>✓</t>
        </is>
      </c>
      <c r="E14" s="147" t="n"/>
      <c r="F14" s="147" t="n"/>
      <c r="G14" s="148" t="inlineStr">
        <is>
          <t>Argentina-Switzerland preview</t>
        </is>
      </c>
    </row>
    <row r="15" ht="15" customHeight="1" s="86">
      <c r="A15" s="90" t="inlineStr">
        <is>
          <t>wikipedia.org</t>
        </is>
      </c>
      <c r="B15" s="146" t="inlineStr">
        <is>
          <t>Tournament format &amp; structure</t>
        </is>
      </c>
      <c r="C15" s="147" t="n"/>
      <c r="D15" s="147" t="inlineStr">
        <is>
          <t>✓</t>
        </is>
      </c>
      <c r="E15" s="147" t="n"/>
      <c r="F15" s="147" t="n"/>
      <c r="G15" s="148" t="inlineStr">
        <is>
          <t>WC knockout format/dates</t>
        </is>
      </c>
    </row>
    <row r="16" ht="15" customHeight="1" s="86">
      <c r="A16" s="90" t="inlineStr">
        <is>
          <t>vsin.com</t>
        </is>
      </c>
      <c r="B16" s="146" t="inlineStr">
        <is>
          <t>Expert betting analysis &amp; picks</t>
        </is>
      </c>
      <c r="C16" s="147" t="n"/>
      <c r="D16" s="147" t="n"/>
      <c r="E16" s="147" t="inlineStr">
        <is>
          <t>✓</t>
        </is>
      </c>
      <c r="F16" s="147" t="inlineStr">
        <is>
          <t>✓</t>
        </is>
      </c>
      <c r="G16" s="148" t="inlineStr">
        <is>
          <t>MLB Sunday card; NASCAR top-5 picks &amp; longshots</t>
        </is>
      </c>
    </row>
    <row r="17" ht="15" customHeight="1" s="86">
      <c r="A17" s="90" t="inlineStr">
        <is>
          <t>pickdawgz.com</t>
        </is>
      </c>
      <c r="B17" s="146" t="inlineStr">
        <is>
          <t>Game predictions with stats</t>
        </is>
      </c>
      <c r="C17" s="147" t="n"/>
      <c r="D17" s="147" t="n"/>
      <c r="E17" s="147" t="inlineStr">
        <is>
          <t>✓</t>
        </is>
      </c>
      <c r="F17" s="147" t="n"/>
      <c r="G17" s="148" t="inlineStr">
        <is>
          <t>Brewers-Pirates deep dive</t>
        </is>
      </c>
    </row>
    <row r="18" ht="15" customHeight="1" s="86">
      <c r="A18" s="90" t="inlineStr">
        <is>
          <t>mlb.com</t>
        </is>
      </c>
      <c r="B18" s="146" t="inlineStr">
        <is>
          <t>Official schedules &amp; probable pitchers</t>
        </is>
      </c>
      <c r="C18" s="147" t="n"/>
      <c r="D18" s="147" t="n"/>
      <c r="E18" s="147" t="inlineStr">
        <is>
          <t>✓</t>
        </is>
      </c>
      <c r="F18" s="147" t="n"/>
      <c r="G18" s="148" t="inlineStr">
        <is>
          <t>Probable-pitcher confirmation</t>
        </is>
      </c>
    </row>
    <row r="19" ht="15" customHeight="1" s="86">
      <c r="A19" s="90" t="inlineStr">
        <is>
          <t>cbssports.com</t>
        </is>
      </c>
      <c r="B19" s="146" t="inlineStr">
        <is>
          <t>Model-based picks &amp; odds (FanDuel)</t>
        </is>
      </c>
      <c r="C19" s="147" t="n"/>
      <c r="D19" s="147" t="n"/>
      <c r="E19" s="147" t="n"/>
      <c r="F19" s="147" t="inlineStr">
        <is>
          <t>✓</t>
        </is>
      </c>
      <c r="G19" s="148" t="inlineStr">
        <is>
          <t>SportsLine model: Keselowski call, Blaney fade</t>
        </is>
      </c>
    </row>
    <row r="20" ht="15" customHeight="1" s="86">
      <c r="A20" s="149" t="inlineStr">
        <is>
          <t>si.com</t>
        </is>
      </c>
      <c r="B20" s="150" t="inlineStr">
        <is>
          <t>Betting lines, picks &amp; player props (FanDuel)</t>
        </is>
      </c>
      <c r="D20" s="151" t="inlineStr">
        <is>
          <t>✓</t>
        </is>
      </c>
      <c r="F20" s="151" t="inlineStr">
        <is>
          <t>✓</t>
        </is>
      </c>
      <c r="G20" s="136" t="inlineStr">
        <is>
          <t>T2: France-Spain lines · T5 WNBA: all game lines &amp; props</t>
        </is>
      </c>
    </row>
    <row r="21" ht="15" customHeight="1" s="86">
      <c r="A21" s="149" t="inlineStr">
        <is>
          <t>golfdigest.com</t>
        </is>
      </c>
      <c r="B21" s="150" t="inlineStr">
        <is>
          <t>Golf major picks &amp; player analysis</t>
        </is>
      </c>
      <c r="G21" s="136" t="inlineStr">
        <is>
          <t>T6 Open: 13-best-bets breakdown, form/course fit</t>
        </is>
      </c>
    </row>
    <row r="22" ht="15" customHeight="1" s="86">
      <c r="A22" s="149" t="inlineStr">
        <is>
          <t>sportsbettingdime.com</t>
        </is>
      </c>
      <c r="B22" s="150" t="inlineStr">
        <is>
          <t>Odds tracking (DraftKings)</t>
        </is>
      </c>
      <c r="G22" s="136" t="inlineStr">
        <is>
          <t>T6 Open: outright board · also WC SF openers</t>
        </is>
      </c>
    </row>
    <row r="23" ht="15" customHeight="1" s="86">
      <c r="A23" s="149" t="inlineStr">
        <is>
          <t>all.rugby</t>
        </is>
      </c>
      <c r="B23" s="150" t="inlineStr">
        <is>
          <t>Rugby fixtures &amp; results</t>
        </is>
      </c>
      <c r="G23" s="136" t="inlineStr">
        <is>
          <t>T7 Rugby: Nations Cup rounds 1-2 results, Rd 3 fixtures</t>
        </is>
      </c>
    </row>
    <row r="24" ht="15" customHeight="1" s="86"/>
    <row r="25" ht="15" customHeight="1" s="86">
      <c r="A25" s="152" t="inlineStr">
        <is>
          <t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      </is>
      </c>
    </row>
    <row r="26" ht="15" customHeight="1" s="86">
      <c r="A26" s="88" t="inlineStr">
        <is>
          <t>Sportsbook prices quoted within these pages: DraftKings, BetMGM, FanDuel.</t>
        </is>
      </c>
    </row>
    <row r="27" ht="15" customHeight="1" s="86">
      <c r="A27" s="88" t="inlineStr">
        <is>
          <t>Test 1 note: the original UFC 329 card (previous session) cited DraftKings / BetMGM / CBS Sports; graded from ufc.com + mmaweekly.com.</t>
        </is>
      </c>
    </row>
    <row r="28" ht="15" customHeight="1" s="86">
      <c r="A28" s="88" t="inlineStr">
        <is>
          <t>Sites queried but returning no usable facts (blocked/empty) are not listed.</t>
        </is>
      </c>
    </row>
    <row r="29" ht="15" customHeight="1" s="86">
      <c r="A29" s="153" t="inlineStr">
        <is>
          <t>Test 8 · HR Derby Jul 13</t>
        </is>
      </c>
      <c r="B29" s="153" t="inlineStr">
        <is>
          <t>dknetwork.draftkings.com (outright odds); actionnetwork.com (format, props); vsin.com (props, picks); sports.yahoo.com (event info); mlb.com (schedule)</t>
        </is>
      </c>
    </row>
    <row r="30" ht="15" customHeight="1" s="86">
      <c r="A30" s="153" t="inlineStr">
        <is>
          <t>Test 9 · WNBA Jul 15</t>
        </is>
      </c>
      <c r="B30" s="153" t="inlineStr">
        <is>
          <t>covers.com (Fever-Valkyries odds); dratings.com (slate, projections); actionnetwork.com (Sparks-Lynx); fantasyalarm.com (Fever preview); espn.com (records)</t>
        </is>
      </c>
    </row>
    <row r="31" ht="15" customHeight="1" s="86">
      <c r="A31" s="153" t="inlineStr">
        <is>
          <t>Test 7 · Rugby Jul 18</t>
        </is>
      </c>
      <c r="B31" s="153" t="inlineStr">
        <is>
          <t>freetips.com (Chile-Georgia -12.5, USA-Spain -3.5 handicaps); all.rugby (fixtures/form); world.rugby (tournament); skysports.com (previews)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5 — WNBA SUNDAY NIGHT DOUBLEHEADER · JULY 12, 2026</t>
        </is>
      </c>
      <c r="H1" s="137" t="inlineStr">
        <is>
          <t>STATUS: SETTLED — 3-4 (42.9%), -$298.15 · Fever routed Aces 109-75</t>
        </is>
      </c>
    </row>
    <row r="2" ht="15" customHeight="1" s="86">
      <c r="A2" s="88" t="inlineStr">
        <is>
          <t>Sky @ Wings 7 PM ET (ESPN) · Fever @ Aces 9 PM ET (NBC) · Source: wnba-jul12-betting-card.html · Lines: FanDuel via SI Betting / Covers, ~5 PM CT</t>
        </is>
      </c>
    </row>
    <row r="3" ht="15" customHeight="1" s="86">
      <c r="A3" s="88" t="inlineStr">
        <is>
          <t>Budget $1,000 · 6 core bets + 1 longshot (counts toward the account longshot record). EV ≈ +$81, expected wins ≈ 3.6 of 7.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Wings -9.5</t>
        </is>
      </c>
      <c r="C7" s="113" t="inlineStr">
        <is>
          <t>vs Sky · 7 PM ET</t>
        </is>
      </c>
      <c r="D7" s="114" t="inlineStr">
        <is>
          <t>Spread</t>
        </is>
      </c>
      <c r="E7" s="120" t="n">
        <v>-115</v>
      </c>
      <c r="F7" s="121" t="n">
        <v>200</v>
      </c>
      <c r="G7" s="122">
        <f>IF(E7&gt;0,F7*E7/100,F7*100/ABS(E7))</f>
        <v/>
      </c>
      <c r="H7" s="122">
        <f>F7+G7</f>
        <v/>
      </c>
      <c r="I7" s="126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0.5600000000000001</v>
      </c>
      <c r="M7" s="143" t="inlineStr">
        <is>
          <t>Sky missing Carrington + Diggins; Wings 15-8, 2nd in O-rating last 10 · RESULT: DAL 82-79 — won by 3, spread dead</t>
        </is>
      </c>
    </row>
    <row r="8" ht="15" customHeight="1" s="86">
      <c r="A8" s="114" t="n">
        <v>2</v>
      </c>
      <c r="B8" s="90" t="inlineStr">
        <is>
          <t>Sky @ Wings Over 177.5</t>
        </is>
      </c>
      <c r="C8" s="113" t="inlineStr">
        <is>
          <t>Game 1 total</t>
        </is>
      </c>
      <c r="D8" s="114" t="inlineStr">
        <is>
          <t>Total</t>
        </is>
      </c>
      <c r="E8" s="120" t="n">
        <v>-112</v>
      </c>
      <c r="F8" s="121" t="n">
        <v>150</v>
      </c>
      <c r="G8" s="122">
        <f>IF(E8&gt;0,F8*E8/100,F8*100/ABS(E8))</f>
        <v/>
      </c>
      <c r="H8" s="122">
        <f>F8+G8</f>
        <v/>
      </c>
      <c r="I8" s="126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0.5600000000000001</v>
      </c>
      <c r="M8" s="143" t="inlineStr">
        <is>
          <t>185 &amp; 188 combined in first two meetings; Sky 3rd in pace, over 8 of last 10 · RESULT: 161 combined — 16.5 under the number</t>
        </is>
      </c>
    </row>
    <row r="9" ht="15" customHeight="1" s="86">
      <c r="A9" s="114" t="n">
        <v>3</v>
      </c>
      <c r="B9" s="90" t="inlineStr">
        <is>
          <t>Paige Bueckers 20+ Points</t>
        </is>
      </c>
      <c r="C9" s="113" t="inlineStr">
        <is>
          <t>Wings G · player prop</t>
        </is>
      </c>
      <c r="D9" s="114" t="inlineStr">
        <is>
          <t>Prop</t>
        </is>
      </c>
      <c r="E9" s="120" t="n">
        <v>-159</v>
      </c>
      <c r="F9" s="121" t="n">
        <v>150</v>
      </c>
      <c r="G9" s="122">
        <f>IF(E9&gt;0,F9*E9/100,F9*100/ABS(E9))</f>
        <v/>
      </c>
      <c r="H9" s="122">
        <f>F9+G9</f>
        <v/>
      </c>
      <c r="I9" s="123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0.65</v>
      </c>
      <c r="M9" s="143" t="inlineStr">
        <is>
          <t>22+ in 6 of last 7; 20.6 PPG; Sky 10th in D-rating · RESULT: Bueckers 20 pts (6-13 FG, 7-8 FT) — cleared at the buzzer of our line</t>
        </is>
      </c>
    </row>
    <row r="10" ht="15" customHeight="1" s="86">
      <c r="A10" s="114" t="n">
        <v>4</v>
      </c>
      <c r="B10" s="90" t="inlineStr">
        <is>
          <t>Aces -4.5</t>
        </is>
      </c>
      <c r="C10" s="113" t="inlineStr">
        <is>
          <t>vs Fever · 9 PM ET</t>
        </is>
      </c>
      <c r="D10" s="114" t="inlineStr">
        <is>
          <t>Spread</t>
        </is>
      </c>
      <c r="E10" s="120" t="n">
        <v>-108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0.55</v>
      </c>
      <c r="M10" s="143" t="inlineStr">
        <is>
          <t>+41 differential last 7 home w/ Wilson; rested off 48-pt blowout Sat · RESULT: Fever 109-75 — Aces lost by 34, spread dead</t>
        </is>
      </c>
    </row>
    <row r="11" ht="15" customHeight="1" s="86">
      <c r="A11" s="114" t="n">
        <v>5</v>
      </c>
      <c r="B11" s="90" t="inlineStr">
        <is>
          <t>A'ja Wilson Double-Double (Yes)</t>
        </is>
      </c>
      <c r="C11" s="113" t="inlineStr">
        <is>
          <t>Aces F · player prop</t>
        </is>
      </c>
      <c r="D11" s="114" t="inlineStr">
        <is>
          <t>Prop</t>
        </is>
      </c>
      <c r="E11" s="120" t="n">
        <v>-120</v>
      </c>
      <c r="F11" s="121" t="n">
        <v>130</v>
      </c>
      <c r="G11" s="122">
        <f>IF(E11&gt;0,F11*E11/100,F11*100/ABS(E11))</f>
        <v/>
      </c>
      <c r="H11" s="122">
        <f>F11+G11</f>
        <v/>
      </c>
      <c r="I11" s="138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0.6</v>
      </c>
      <c r="M11" s="143" t="inlineStr">
        <is>
          <t>DD in 5 straight career games vs Clark; 10.8 reb/game at home; 11 DDs (3rd in W) · RESULT: Wilson 20 pts / 12 reb — double-double cashed</t>
        </is>
      </c>
    </row>
    <row r="12" ht="15" customHeight="1" s="86">
      <c r="A12" s="114" t="n">
        <v>6</v>
      </c>
      <c r="B12" s="90" t="inlineStr">
        <is>
          <t>Kelsey Mitchell Over 2.5 Threes</t>
        </is>
      </c>
      <c r="C12" s="113" t="inlineStr">
        <is>
          <t>Fever G · player prop</t>
        </is>
      </c>
      <c r="D12" s="114" t="inlineStr">
        <is>
          <t>Prop</t>
        </is>
      </c>
      <c r="E12" s="120" t="n">
        <v>-121</v>
      </c>
      <c r="F12" s="121" t="n">
        <v>120</v>
      </c>
      <c r="G12" s="122">
        <f>IF(E12&gt;0,F12*E12/100,F12*100/ABS(E12))</f>
        <v/>
      </c>
      <c r="H12" s="122">
        <f>F12+G12</f>
        <v/>
      </c>
      <c r="I12" s="138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0.58</v>
      </c>
      <c r="M12" s="143" t="inlineStr">
        <is>
          <t>3+ threes in 6 straight, 8 of 10; 41.1% from deep; LV 12th vs opp threes · RESULT: Mitchell 3-of-8 from deep (27 pts) — cleared 2.5</t>
        </is>
      </c>
    </row>
    <row r="13" ht="15" customHeight="1" s="86">
      <c r="A13" s="114" t="n">
        <v>7</v>
      </c>
      <c r="B13" s="90" t="inlineStr">
        <is>
          <t>LONGSHOT: 4-Leg Parlay</t>
        </is>
      </c>
      <c r="C13" s="113" t="inlineStr">
        <is>
          <t>Wings -9.5 / Aces -4.5 / Bueckers 20+ / Mitchell 3+ threes</t>
        </is>
      </c>
      <c r="D13" s="114" t="inlineStr">
        <is>
          <t>Parlay</t>
        </is>
      </c>
      <c r="E13" s="120" t="n">
        <v>971</v>
      </c>
      <c r="F13" s="121" t="n">
        <v>100</v>
      </c>
      <c r="G13" s="122">
        <f>IF(E13&gt;0,F13*E13/100,F13*100/ABS(E13))</f>
        <v/>
      </c>
      <c r="H13" s="122">
        <f>F13+G13</f>
        <v/>
      </c>
      <c r="I13" s="126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0.12</v>
      </c>
      <c r="M13" s="143" t="inlineStr">
        <is>
          <t>Stacks our four highest-confidence legs · counts in longshot record · RESULT: Wings -9.5 leg dead → parlay dead (longshot MISS)</t>
        </is>
      </c>
    </row>
    <row r="14" ht="15" customHeight="1" s="86">
      <c r="A14" s="144" t="n"/>
      <c r="B14" s="145" t="inlineStr">
        <is>
          <t>TOTALS</t>
        </is>
      </c>
      <c r="C14" s="144" t="n"/>
      <c r="D14" s="144" t="n"/>
      <c r="E14" s="144" t="n"/>
      <c r="F14" s="129">
        <f>SUM(F7:F13)</f>
        <v/>
      </c>
      <c r="G14" s="130">
        <f>SUM(G7:G13)</f>
        <v/>
      </c>
      <c r="H14" s="130">
        <f>SUM(H7:H13)</f>
        <v/>
      </c>
      <c r="I14" s="144" t="n"/>
      <c r="J14" s="130">
        <f>SUM(J7:J13)</f>
        <v/>
      </c>
      <c r="K14" s="131">
        <f>SUM(K7:K13)</f>
        <v/>
      </c>
      <c r="L14" s="140">
        <f>SUM(L7:L13)</f>
        <v/>
      </c>
      <c r="M14" s="144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2">
        <f>COUNTIF(I7:I13,"Win")</f>
        <v/>
      </c>
    </row>
    <row r="18" ht="15" customHeight="1" s="86">
      <c r="B18" s="90" t="inlineStr">
        <is>
          <t>Losses</t>
        </is>
      </c>
      <c r="C18" s="132">
        <f>COUNTIF(I7:I13,"Loss")</f>
        <v/>
      </c>
    </row>
    <row r="19" ht="15" customHeight="1" s="86">
      <c r="B19" s="90" t="inlineStr">
        <is>
          <t>Pushes</t>
        </is>
      </c>
      <c r="C19" s="132">
        <f>COUNTIF(I7:I13,"Push")</f>
        <v/>
      </c>
    </row>
    <row r="20" ht="15" customHeight="1" s="86">
      <c r="B20" s="90" t="inlineStr">
        <is>
          <t>Pending</t>
        </is>
      </c>
      <c r="C20" s="132">
        <f>COUNTIF(I7:I13,"Pending")</f>
        <v/>
      </c>
    </row>
    <row r="21" ht="15" customHeight="1" s="86">
      <c r="B21" s="90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5">
        <f>SUM(F7:F13)</f>
        <v/>
      </c>
    </row>
    <row r="23" ht="15" customHeight="1" s="86">
      <c r="B23" s="90" t="inlineStr">
        <is>
          <t>Total Returned</t>
        </is>
      </c>
      <c r="C23" s="122">
        <f>SUM(J7:J13)</f>
        <v/>
      </c>
    </row>
    <row r="24" ht="15" customHeight="1" s="86">
      <c r="B24" s="90" t="inlineStr">
        <is>
          <t>Net P/L</t>
        </is>
      </c>
      <c r="C24" s="124">
        <f>SUM(K7:K13)</f>
        <v/>
      </c>
    </row>
    <row r="25" ht="15" customHeight="1" s="86">
      <c r="B25" s="90" t="inlineStr">
        <is>
          <t>ROI</t>
        </is>
      </c>
      <c r="C25" s="133">
        <f>IF(SUM(F7:F13)=0,"—",SUM(K7:K13)/SUM(F7:F13))</f>
        <v/>
      </c>
    </row>
    <row r="26" ht="15" customHeight="1" s="86">
      <c r="B26" s="90" t="inlineStr">
        <is>
          <t>Max Return (all hit)</t>
        </is>
      </c>
      <c r="C26" s="122">
        <f>SUM(H7:H13)</f>
        <v/>
      </c>
    </row>
    <row r="27" ht="15" customHeight="1" s="86">
      <c r="B27" s="90" t="inlineStr">
        <is>
          <t>Expected Wins (model)</t>
        </is>
      </c>
      <c r="C27" s="141">
        <f>SUM(L7:L13)</f>
        <v/>
      </c>
    </row>
    <row r="28" ht="15" customHeight="1" s="86">
      <c r="B28" s="90" t="inlineStr">
        <is>
          <t>Expected Value (model)</t>
        </is>
      </c>
      <c r="C28" s="124">
        <f>SUMPRODUCT(L7:L13,G7:G13)-SUMPRODUCT(1-L7:L13,F7:F13)</f>
        <v/>
      </c>
    </row>
    <row r="30" ht="15" customHeight="1" s="86">
      <c r="A30" s="136" t="inlineStr">
        <is>
          <t>Yellow = fill in results (dropdown). Blue = inputs. Black = formulas. Parlay odds +971 = (-115 × -108 × -159 × -121) compounded; grades as one bet.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6 — THE 154th OPEN CHAMPIONSHIP · ROYAL BIRKDALE · JULY 16-19, 2026</t>
        </is>
      </c>
      <c r="B1" s="85" t="inlineStr">
        <is>
          <t>STATUS: ACTIVE — R3 LATE Sat Jul 18 (8:15 PM UK): Fox pars 18 for a record-tying 62 — clubhouse co-lead with Herbert at −8; Burns &amp; Si Woo Kim slip back ~−5/−6 into the Suber/Young/Gerard chase pack (~−6). OUR CARD: Fleetwood −7 thru 13 on last full board — one-two back; Scheffler ~−4/−5; Rahm ~−3/−4; Morikawa −2; Koepka +1. Grades Sunday only. (Central Oregon Daily + PGA Tour liveblogs agree)</t>
        </is>
      </c>
      <c r="H1" s="137" t="inlineStr">
        <is>
          <t>STATUS: ACTIVE — R3 LATE Sat Jul 18 (8:15 PM UK): Fox pars 18 for a record-tying 62 — clubhouse co-lead with Herbert at −8; Burns &amp; Si Woo Kim slip back ~−5/−6 into the Suber/Young/Gerard chase pack (~−6). OUR CARD: Fleetwood −7 thru 13 on last full board — one-two back; Scheffler ~−4/−5; Rahm ~−3/−4; Morikawa −2; Koepka +1. Grades Sunday only. (Central Oregon Daily + PGA Tour liveblogs agree)</t>
        </is>
      </c>
    </row>
    <row r="2" ht="15" customHeight="1" s="86">
      <c r="A2" s="88" t="inlineStr">
        <is>
          <t>Source: open2026-betting-card.html · Outrights locked Sun Jul 12 · Phase 2 top-10 props deployed Wed Jul 15 (reserved $400 now at risk)</t>
        </is>
      </c>
    </row>
    <row r="3" ht="15" customHeight="1" s="86">
      <c r="A3" s="88" t="inlineStr">
        <is>
          <t>Outright basket (rows 7-12) mutually exclusive — max one cashes. Phase 2 = 5 top-10 props (rows 13-17). Full $1,000 now deployed.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Scottie Scheffler</t>
        </is>
      </c>
      <c r="C7" s="113" t="inlineStr">
        <is>
          <t>Outright winner</t>
        </is>
      </c>
      <c r="D7" s="114" t="inlineStr">
        <is>
          <t>Outright</t>
        </is>
      </c>
      <c r="E7" s="120" t="n">
        <v>450</v>
      </c>
      <c r="F7" s="121" t="n">
        <v>200</v>
      </c>
      <c r="G7" s="122">
        <f>IF(E7&gt;0,F7*E7/100,F7*100/ABS(E7))</f>
        <v/>
      </c>
      <c r="H7" s="122">
        <f>F7+G7</f>
        <v/>
      </c>
      <c r="I7" s="138" t="inlineStr">
        <is>
          <t>Pending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0.18</v>
      </c>
      <c r="M7" s="143" t="inlineStr">
        <is>
          <t>Anchor — defending champ, drought discount on world No. 1</t>
        </is>
      </c>
    </row>
    <row r="8" ht="15" customHeight="1" s="86">
      <c r="A8" s="114" t="n">
        <v>2</v>
      </c>
      <c r="B8" s="90" t="inlineStr">
        <is>
          <t>Jon Rahm</t>
        </is>
      </c>
      <c r="C8" s="113" t="inlineStr">
        <is>
          <t>Outright winner</t>
        </is>
      </c>
      <c r="D8" s="114" t="inlineStr">
        <is>
          <t>Outright</t>
        </is>
      </c>
      <c r="E8" s="120" t="n">
        <v>1600</v>
      </c>
      <c r="F8" s="121" t="n">
        <v>100</v>
      </c>
      <c r="G8" s="122">
        <f>IF(E8&gt;0,F8*E8/100,F8*100/ABS(E8))</f>
        <v/>
      </c>
      <c r="H8" s="122">
        <f>F8+G8</f>
        <v/>
      </c>
      <c r="I8" s="138" t="inlineStr">
        <is>
          <t>Pending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0.07000000000000001</v>
      </c>
      <c r="M8" s="143" t="inlineStr">
        <is>
          <t>Two majors, near-misses all season, wind player</t>
        </is>
      </c>
    </row>
    <row r="9" ht="15" customHeight="1" s="86">
      <c r="A9" s="114" t="n">
        <v>3</v>
      </c>
      <c r="B9" s="90" t="inlineStr">
        <is>
          <t>Tommy Fleetwood</t>
        </is>
      </c>
      <c r="C9" s="113" t="inlineStr">
        <is>
          <t>Outright winner</t>
        </is>
      </c>
      <c r="D9" s="114" t="inlineStr">
        <is>
          <t>Outright</t>
        </is>
      </c>
      <c r="E9" s="120" t="n">
        <v>1600</v>
      </c>
      <c r="F9" s="121" t="n">
        <v>100</v>
      </c>
      <c r="G9" s="122">
        <f>IF(E9&gt;0,F9*E9/100,F9*100/ABS(E9))</f>
        <v/>
      </c>
      <c r="H9" s="122">
        <f>F9+G9</f>
        <v/>
      </c>
      <c r="I9" s="138" t="inlineStr">
        <is>
          <t>Pending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0.07000000000000001</v>
      </c>
      <c r="M9" s="143" t="inlineStr">
        <is>
          <t>Southport native — Birkdale is his home course</t>
        </is>
      </c>
    </row>
    <row r="10" ht="15" customHeight="1" s="86">
      <c r="A10" s="114" t="n">
        <v>4</v>
      </c>
      <c r="B10" s="90" t="inlineStr">
        <is>
          <t>Matt Fitzpatrick</t>
        </is>
      </c>
      <c r="C10" s="113" t="inlineStr">
        <is>
          <t>Outright winner</t>
        </is>
      </c>
      <c r="D10" s="114" t="inlineStr">
        <is>
          <t>Outright</t>
        </is>
      </c>
      <c r="E10" s="120" t="n">
        <v>2000</v>
      </c>
      <c r="F10" s="121" t="n">
        <v>80</v>
      </c>
      <c r="G10" s="122">
        <f>IF(E10&gt;0,F10*E10/100,F10*100/ABS(E10))</f>
        <v/>
      </c>
      <c r="H10" s="122">
        <f>F10+G10</f>
        <v/>
      </c>
      <c r="I10" s="138" t="inlineStr">
        <is>
          <t>Pending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0.055</v>
      </c>
      <c r="M10" s="143" t="inlineStr">
        <is>
          <t>3 wins this season, English home major</t>
        </is>
      </c>
    </row>
    <row r="11" ht="15" customHeight="1" s="86">
      <c r="A11" s="114" t="n">
        <v>5</v>
      </c>
      <c r="B11" s="90" t="inlineStr">
        <is>
          <t>Collin Morikawa</t>
        </is>
      </c>
      <c r="C11" s="113" t="inlineStr">
        <is>
          <t>Outright winner</t>
        </is>
      </c>
      <c r="D11" s="114" t="inlineStr">
        <is>
          <t>Outright</t>
        </is>
      </c>
      <c r="E11" s="120" t="n">
        <v>2800</v>
      </c>
      <c r="F11" s="121" t="n">
        <v>70</v>
      </c>
      <c r="G11" s="122">
        <f>IF(E11&gt;0,F11*E11/100,F11*100/ABS(E11))</f>
        <v/>
      </c>
      <c r="H11" s="122">
        <f>F11+G11</f>
        <v/>
      </c>
      <c r="I11" s="138" t="inlineStr">
        <is>
          <t>Pending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0.045</v>
      </c>
      <c r="M11" s="143" t="inlineStr">
        <is>
          <t>2021 Open champ, Sunday 61 at Travelers</t>
        </is>
      </c>
    </row>
    <row r="12" ht="15" customHeight="1" s="86">
      <c r="A12" s="114" t="n">
        <v>6</v>
      </c>
      <c r="B12" s="90" t="inlineStr">
        <is>
          <t>Brooks Koepka (LONGSHOT)</t>
        </is>
      </c>
      <c r="C12" s="113" t="inlineStr">
        <is>
          <t>Outright winner</t>
        </is>
      </c>
      <c r="D12" s="114" t="inlineStr">
        <is>
          <t>Outright</t>
        </is>
      </c>
      <c r="E12" s="120" t="n">
        <v>5000</v>
      </c>
      <c r="F12" s="121" t="n">
        <v>50</v>
      </c>
      <c r="G12" s="122">
        <f>IF(E12&gt;0,F12*E12/100,F12*100/ABS(E12))</f>
        <v/>
      </c>
      <c r="H12" s="122">
        <f>F12+G12</f>
        <v/>
      </c>
      <c r="I12" s="138" t="inlineStr">
        <is>
          <t>Pending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0.025</v>
      </c>
      <c r="M12" s="143" t="inlineStr">
        <is>
          <t>5 majors, career-long price · counts in longshot record</t>
        </is>
      </c>
    </row>
    <row r="13" ht="15" customHeight="1" s="86">
      <c r="A13" s="155" t="n">
        <v>7</v>
      </c>
      <c r="B13" s="156" t="inlineStr">
        <is>
          <t>Scottie Scheffler Top-10</t>
        </is>
      </c>
      <c r="C13" s="157" t="inlineStr">
        <is>
          <t>Top-10 finish</t>
        </is>
      </c>
      <c r="D13" s="155" t="inlineStr">
        <is>
          <t>Prop</t>
        </is>
      </c>
      <c r="E13" s="158" t="n">
        <v>-146</v>
      </c>
      <c r="F13" s="159" t="n">
        <v>120</v>
      </c>
      <c r="G13" s="160">
        <f>IF(E13&gt;0,F13*E13/100,F13*100/ABS(E13))</f>
        <v/>
      </c>
      <c r="H13" s="160">
        <f>F13+G13</f>
        <v/>
      </c>
      <c r="I13" s="138" t="inlineStr">
        <is>
          <t>Pending</t>
        </is>
      </c>
      <c r="J13" s="160">
        <f>IF(I13="Win",F13+G13,IF(I13="Push",F13,IF(I13="Loss",0,0)))</f>
        <v/>
      </c>
      <c r="K13" s="161">
        <f>IF(I13="Pending",0,J13-F13)</f>
        <v/>
      </c>
      <c r="L13" s="162" t="n">
        <v>0.62</v>
      </c>
      <c r="M13" s="163" t="inlineStr">
        <is>
          <t>World #1 / +620 favorite; safest of the basket</t>
        </is>
      </c>
    </row>
    <row r="14" ht="15" customHeight="1" s="86">
      <c r="A14" s="114" t="n">
        <v>8</v>
      </c>
      <c r="B14" s="90" t="inlineStr">
        <is>
          <t>Tommy Fleetwood Top-10</t>
        </is>
      </c>
      <c r="C14" s="113" t="inlineStr">
        <is>
          <t>Top-10 finish</t>
        </is>
      </c>
      <c r="D14" s="114" t="inlineStr">
        <is>
          <t>Prop</t>
        </is>
      </c>
      <c r="E14" s="120" t="n">
        <v>158</v>
      </c>
      <c r="F14" s="121" t="n">
        <v>90</v>
      </c>
      <c r="G14" s="122">
        <f>IF(E14&gt;0,F14*E14/100,F14*100/ABS(E14))</f>
        <v/>
      </c>
      <c r="H14" s="122">
        <f>F14+G14</f>
        <v/>
      </c>
      <c r="I14" s="138" t="inlineStr">
        <is>
          <t>Pending</t>
        </is>
      </c>
      <c r="J14" s="122">
        <f>IF(I14="Win",F14+G14,IF(I14="Push",F14,IF(I14="Loss",0,0)))</f>
        <v/>
      </c>
      <c r="K14" s="124">
        <f>IF(I14="Pending",0,J14-F14)</f>
        <v/>
      </c>
      <c r="L14" s="154" t="n">
        <v>0.44</v>
      </c>
      <c r="M14" s="143" t="inlineStr">
        <is>
          <t>Southport native, home links; strong value</t>
        </is>
      </c>
    </row>
    <row r="15" ht="15" customHeight="1" s="86">
      <c r="A15" s="114" t="n">
        <v>9</v>
      </c>
      <c r="B15" s="90" t="inlineStr">
        <is>
          <t>Jon Rahm Top-10</t>
        </is>
      </c>
      <c r="C15" s="113" t="inlineStr">
        <is>
          <t>Top-10 finish</t>
        </is>
      </c>
      <c r="D15" s="114" t="inlineStr">
        <is>
          <t>Prop</t>
        </is>
      </c>
      <c r="E15" s="120" t="n">
        <v>172</v>
      </c>
      <c r="F15" s="121" t="n">
        <v>80</v>
      </c>
      <c r="G15" s="122">
        <f>IF(E15&gt;0,F15*E15/100,F15*100/ABS(E15))</f>
        <v/>
      </c>
      <c r="H15" s="122">
        <f>F15+G15</f>
        <v/>
      </c>
      <c r="I15" s="138" t="inlineStr">
        <is>
          <t>Pending</t>
        </is>
      </c>
      <c r="J15" s="122">
        <f>IF(I15="Win",F15+G15,IF(I15="Push",F15,IF(I15="Loss",0,0)))</f>
        <v/>
      </c>
      <c r="K15" s="124">
        <f>IF(I15="Pending",0,J15-F15)</f>
        <v/>
      </c>
      <c r="L15" s="154" t="n">
        <v>0.42</v>
      </c>
      <c r="M15" s="143" t="inlineStr">
        <is>
          <t>Elite wind player; value vs field</t>
        </is>
      </c>
    </row>
    <row r="16" ht="15" customHeight="1" s="86">
      <c r="A16" s="114" t="n">
        <v>10</v>
      </c>
      <c r="B16" s="90" t="inlineStr">
        <is>
          <t>Matt Fitzpatrick Top-10</t>
        </is>
      </c>
      <c r="C16" s="113" t="inlineStr">
        <is>
          <t>Top-10 finish</t>
        </is>
      </c>
      <c r="D16" s="114" t="inlineStr">
        <is>
          <t>Prop</t>
        </is>
      </c>
      <c r="E16" s="120" t="n">
        <v>164</v>
      </c>
      <c r="F16" s="121" t="n">
        <v>70</v>
      </c>
      <c r="G16" s="122">
        <f>IF(E16&gt;0,F16*E16/100,F16*100/ABS(E16))</f>
        <v/>
      </c>
      <c r="H16" s="122">
        <f>F16+G16</f>
        <v/>
      </c>
      <c r="I16" s="138" t="inlineStr">
        <is>
          <t>Pending</t>
        </is>
      </c>
      <c r="J16" s="122">
        <f>IF(I16="Win",F16+G16,IF(I16="Push",F16,IF(I16="Loss",0,0)))</f>
        <v/>
      </c>
      <c r="K16" s="124">
        <f>IF(I16="Pending",0,J16-F16)</f>
        <v/>
      </c>
      <c r="L16" s="154" t="n">
        <v>0.42</v>
      </c>
      <c r="M16" s="143" t="inlineStr">
        <is>
          <t>English; 6 straight Open cuts made</t>
        </is>
      </c>
    </row>
    <row r="17" ht="15" customHeight="1" s="86">
      <c r="A17" s="114" t="n">
        <v>11</v>
      </c>
      <c r="B17" s="90" t="inlineStr">
        <is>
          <t>Collin Morikawa Top-10</t>
        </is>
      </c>
      <c r="C17" s="164" t="inlineStr">
        <is>
          <t>Top-10 finish</t>
        </is>
      </c>
      <c r="D17" s="114" t="inlineStr">
        <is>
          <t>Prop</t>
        </is>
      </c>
      <c r="E17" s="120" t="n">
        <v>280</v>
      </c>
      <c r="F17" s="121" t="n">
        <v>40</v>
      </c>
      <c r="G17" s="122">
        <f>IF(E17&gt;0,F17*E17/100,F17*100/ABS(E17))</f>
        <v/>
      </c>
      <c r="H17" s="122">
        <f>F17+G17</f>
        <v/>
      </c>
      <c r="I17" s="138" t="inlineStr">
        <is>
          <t>Pending</t>
        </is>
      </c>
      <c r="J17" s="122">
        <f>IF(I17="Win",F17+G17,IF(I17="Push",F17,IF(I17="Loss",0,0)))</f>
        <v/>
      </c>
      <c r="K17" s="124">
        <f>IF(I17="Pending",0,J17-F17)</f>
        <v/>
      </c>
      <c r="L17" s="154" t="n">
        <v>0.3</v>
      </c>
      <c r="M17" s="143" t="inlineStr">
        <is>
          <t>2021 Open champ, elite ballstriker</t>
        </is>
      </c>
    </row>
    <row r="18" ht="15" customHeight="1" s="86">
      <c r="B18" s="165" t="inlineStr">
        <is>
          <t>TOTALS (deployed)</t>
        </is>
      </c>
      <c r="C18" s="132">
        <f>COUNTIF(I7:I12,"Loss")</f>
        <v/>
      </c>
      <c r="F18" s="93">
        <f>SUM(F7:F17)</f>
        <v/>
      </c>
      <c r="G18" s="93">
        <f>SUM(G7:G17)</f>
        <v/>
      </c>
      <c r="H18" s="93">
        <f>SUM(H7:H17)</f>
        <v/>
      </c>
      <c r="J18" s="93">
        <f>SUM(J7:J17)</f>
        <v/>
      </c>
      <c r="K18" s="93">
        <f>SUM(K7:K17)</f>
        <v/>
      </c>
      <c r="L18" s="166">
        <f>SUM(L7:L17)</f>
        <v/>
      </c>
    </row>
    <row r="19" ht="15" customHeight="1" s="86">
      <c r="B19" s="90" t="inlineStr">
        <is>
          <t>Pending</t>
        </is>
      </c>
      <c r="C19" s="132">
        <f>COUNTIF(I7:I12,"Pending")</f>
        <v/>
      </c>
    </row>
    <row r="20" ht="15" customHeight="1" s="86">
      <c r="B20" s="90" t="inlineStr">
        <is>
          <t>Hit Rate</t>
        </is>
      </c>
      <c r="C20" s="133">
        <f>IF(COUNTIF(I7:I12,"Win")+COUNTIF(I7:I12,"Loss")=0,"—",COUNTIF(I7:I12,"Win")/(COUNTIF(I7:I12,"Win")+COUNTIF(I7:I12,"Loss")))</f>
        <v/>
      </c>
    </row>
    <row r="21" ht="15" customHeight="1" s="86">
      <c r="B21" s="90" t="inlineStr">
        <is>
          <t>Total Staked (Phase 1)</t>
        </is>
      </c>
      <c r="C21" s="115">
        <f>SUM(F7:F12)</f>
        <v/>
      </c>
    </row>
    <row r="22" ht="15" customHeight="1" s="86">
      <c r="B22" s="90" t="inlineStr">
        <is>
          <t>Total Returned</t>
        </is>
      </c>
      <c r="C22" s="122">
        <f>SUM(J7:J12)</f>
        <v/>
      </c>
    </row>
    <row r="23" ht="15" customHeight="1" s="86">
      <c r="B23" s="90" t="inlineStr">
        <is>
          <t>Net P/L</t>
        </is>
      </c>
      <c r="C23" s="124">
        <f>SUM(K7:K12)</f>
        <v/>
      </c>
    </row>
    <row r="24" ht="15" customHeight="1" s="86">
      <c r="B24" s="90" t="inlineStr">
        <is>
          <t>Basket Coverage (one wins)</t>
        </is>
      </c>
      <c r="C24" s="133">
        <f>SUM(L7:L12)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3">
    <cfRule type="expression" rank="0" priority="4" equalAverage="0" aboveAverage="0" dxfId="0" text="" percent="0" bottom="0">
      <formula>AND(ISNUMBER(C23),C23&gt;0)</formula>
    </cfRule>
    <cfRule type="expression" rank="0" priority="5" equalAverage="0" aboveAverage="0" dxfId="1" text="" percent="0" bottom="0">
      <formula>AND(ISNUMBER(C23),C23&lt;0)</formula>
    </cfRule>
  </conditionalFormatting>
  <conditionalFormatting sqref="K7:K18">
    <cfRule type="expression" rank="0" priority="6" equalAverage="0" aboveAverage="0" dxfId="0" text="" percent="0" bottom="0">
      <formula>AND(ISNUMBER(K7),K7&gt;0)</formula>
    </cfRule>
    <cfRule type="expression" rank="0" priority="7" equalAverage="0" aboveAverage="0" dxfId="1" text="" percent="0" bottom="0">
      <formula>AND(ISNUMBER(K7),K7&lt;0)</formula>
    </cfRule>
  </conditionalFormatting>
  <dataValidations count="2">
    <dataValidation sqref="I7:I12" showDropDown="0" showInputMessage="0" showErrorMessage="0" allowBlank="0" type="list" errorStyle="stop" operator="between">
      <formula1>"Pending,Win,Loss,Push"</formula1>
      <formula2>0</formula2>
    </dataValidation>
    <dataValidation sqref="I13:I17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8 — MLB HOME RUN DERBY · CITIZENS BANK PARK, PHILADELPHIA · JULY 13, 2026</t>
        </is>
      </c>
      <c r="H1" s="167" t="inlineStr">
        <is>
          <t>STATUS: SETTLED Jul 13 — 2-5 · net -$475.00 · Walker stunned Schwarber 12-11 in the final</t>
        </is>
      </c>
    </row>
    <row r="2" ht="15" customHeight="1" s="86">
      <c r="A2" s="88" t="inlineStr">
        <is>
          <t>8 PM ET / 7 CT on Netflix · Source: cards/hrderby-jul13-betting-card.html · Outrights: DraftKings ~9 AM CT Jul 13 · Props: Action Network / VSiN lines, -110 std price</t>
        </is>
      </c>
    </row>
    <row r="3" ht="15" customHeight="1" s="86">
      <c r="A3" s="88" t="inlineStr">
        <is>
          <t>Bets 1, 2, 7 mutually exclusive (one winner). New format: 20 swings R1, top 4 to bracket (1v4/2v3), 15-swing semis+final, bonus swings while homering.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Kyle Schwarber</t>
        </is>
      </c>
      <c r="C7" s="113" t="inlineStr">
        <is>
          <t>Outright winner</t>
        </is>
      </c>
      <c r="D7" s="114" t="inlineStr">
        <is>
          <t>Outright</t>
        </is>
      </c>
      <c r="E7" s="120" t="n">
        <v>310</v>
      </c>
      <c r="F7" s="121" t="n">
        <v>220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0.27</v>
      </c>
      <c r="M7" s="143" t="inlineStr">
        <is>
          <t>Anchor — MLB HR leader (32), home park, format suits him — Runner-up: 11 HRs in final, Walker homered on his last 6 swings to win 12-11 (theScore + SI agree)</t>
        </is>
      </c>
    </row>
    <row r="8" ht="15" customHeight="1" s="86">
      <c r="A8" s="114" t="n">
        <v>2</v>
      </c>
      <c r="B8" s="90" t="inlineStr">
        <is>
          <t>Junior Caminero</t>
        </is>
      </c>
      <c r="C8" s="113" t="inlineStr">
        <is>
          <t>Outright winner</t>
        </is>
      </c>
      <c r="D8" s="114" t="inlineStr">
        <is>
          <t>Outright</t>
        </is>
      </c>
      <c r="E8" s="120" t="n">
        <v>425</v>
      </c>
      <c r="F8" s="121" t="n">
        <v>130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0.18</v>
      </c>
      <c r="M8" s="143" t="inlineStr">
        <is>
          <t>44 HR in last year's derby, same BP pitcher — R1 12 HRs (3rd), semis: fell 6-5 to Walker (theScore + AP agree)</t>
        </is>
      </c>
    </row>
    <row r="9" ht="15" customHeight="1" s="86">
      <c r="A9" s="114" t="n">
        <v>3</v>
      </c>
      <c r="B9" s="90" t="inlineStr">
        <is>
          <t>Schwarber R1 Over 10.5 HRs</t>
        </is>
      </c>
      <c r="C9" s="113" t="inlineStr">
        <is>
          <t>Round 1 total</t>
        </is>
      </c>
      <c r="D9" s="114" t="inlineStr">
        <is>
          <t>Prop</t>
        </is>
      </c>
      <c r="E9" s="120" t="n">
        <v>-110</v>
      </c>
      <c r="F9" s="121" t="n">
        <v>180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0.6</v>
      </c>
      <c r="M9" s="143" t="inlineStr">
        <is>
          <t>20 swings + bonus rule; 11 clears — R1: Schwarber hit exactly 10, under by half a homer (theScore + AP agree)</t>
        </is>
      </c>
    </row>
    <row r="10" ht="15" customHeight="1" s="86">
      <c r="A10" s="114" t="n">
        <v>4</v>
      </c>
      <c r="B10" s="90" t="inlineStr">
        <is>
          <t>Total Derby HRs Over 119.5</t>
        </is>
      </c>
      <c r="C10" s="113" t="inlineStr">
        <is>
          <t>Event total</t>
        </is>
      </c>
      <c r="D10" s="114" t="inlineStr">
        <is>
          <t>Prop</t>
        </is>
      </c>
      <c r="E10" s="120" t="n">
        <v>-110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Win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0.58</v>
      </c>
      <c r="M10" s="143" t="inlineStr">
        <is>
          <t>Bonus-swing rule + Philly July carry — Cleared easily: 80 in R1 + 27 in semis + 23 in final ≈ 130 total (multi-source tallies)</t>
        </is>
      </c>
    </row>
    <row r="11" ht="15" customHeight="1" s="86">
      <c r="A11" s="114" t="n">
        <v>5</v>
      </c>
      <c r="B11" s="90" t="inlineStr">
        <is>
          <t>Ben Rice R1 Over 9.5 HRs</t>
        </is>
      </c>
      <c r="C11" s="113" t="inlineStr">
        <is>
          <t>Round 1 total</t>
        </is>
      </c>
      <c r="D11" s="114" t="inlineStr">
        <is>
          <t>Prop</t>
        </is>
      </c>
      <c r="E11" s="120" t="n">
        <v>-110</v>
      </c>
      <c r="F11" s="121" t="n">
        <v>120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0.57</v>
      </c>
      <c r="M11" s="143" t="inlineStr">
        <is>
          <t>Lefty pull power, 330-ft RF corner — VSiN lean — R1: Rice managed just 7 of 20, first man eliminated (theScore; AP confirms did not advance)</t>
        </is>
      </c>
    </row>
    <row r="12" ht="15" customHeight="1" s="86">
      <c r="A12" s="114" t="n">
        <v>6</v>
      </c>
      <c r="B12" s="90" t="inlineStr">
        <is>
          <t>Longest HR Over 484.5 ft</t>
        </is>
      </c>
      <c r="C12" s="113" t="inlineStr">
        <is>
          <t>Distance prop</t>
        </is>
      </c>
      <c r="D12" s="114" t="inlineStr">
        <is>
          <t>Prop</t>
        </is>
      </c>
      <c r="E12" s="120" t="n">
        <v>-110</v>
      </c>
      <c r="F12" s="121" t="n">
        <v>125</v>
      </c>
      <c r="G12" s="122">
        <f>IF(E12&gt;0,F12*E12/100,F12*100/ABS(E12))</f>
        <v/>
      </c>
      <c r="H12" s="122">
        <f>F12+G12</f>
        <v/>
      </c>
      <c r="I12" s="138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0.5600000000000001</v>
      </c>
      <c r="M12" s="143" t="inlineStr">
        <is>
          <t>Contreras 490-ft R1 blast clears 484.5 — graded live mid-event (NESN/Sportsnet/Yahoo agree)</t>
        </is>
      </c>
    </row>
    <row r="13" ht="15" customHeight="1" s="86">
      <c r="A13" s="114" t="n">
        <v>7</v>
      </c>
      <c r="B13" s="90" t="inlineStr">
        <is>
          <t>LONGSHOT: Willson Contreras</t>
        </is>
      </c>
      <c r="C13" s="113" t="inlineStr">
        <is>
          <t>Outright winner</t>
        </is>
      </c>
      <c r="D13" s="114" t="inlineStr">
        <is>
          <t>Outright</t>
        </is>
      </c>
      <c r="E13" s="120" t="n">
        <v>1400</v>
      </c>
      <c r="F13" s="121" t="n">
        <v>75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54" t="n">
        <v>0.07000000000000001</v>
      </c>
      <c r="M13" s="143" t="inlineStr">
        <is>
          <t>Longest price on board · counts in longshot record — Stole the show: 13-HR R1 + 490-ft blast, booed by 45k, out 9-8 to Schwarber on his final semifinal swing (theScore + AP)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FF6B0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2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9 — WNBA WEDNESDAY SLATE · JULY 15, 2026</t>
        </is>
      </c>
      <c r="H1" s="168" t="inlineStr">
        <is>
          <t>STATUS: SETTLED — 2-5 (28.6%), -$446.85 · Valkyries spoil the party; Clark restricted to 26 min</t>
        </is>
      </c>
    </row>
    <row r="2" ht="15" customHeight="1" s="86">
      <c r="A2" s="88" t="inlineStr">
        <is>
          <t>Source: cards/wnba-jul15-betting-card.html · Lines: DraftKings/Caesars/consensus, locked ~9 PM CT Jul 14</t>
        </is>
      </c>
    </row>
    <row r="3" ht="15" customHeight="1" s="86">
      <c r="A3" s="88" t="inlineStr">
        <is>
          <t>3 games: Sparks@Lynx (~12 PM CT), Storm@Sky (aft), Fever vs Valkyries 7 PM CT. Clark prop = Over 22.5 points.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Fever -3.5</t>
        </is>
      </c>
      <c r="C7" s="113" t="inlineStr">
        <is>
          <t>vs Valkyries · 7 PM CT</t>
        </is>
      </c>
      <c r="D7" s="114" t="inlineStr">
        <is>
          <t>Spread</t>
        </is>
      </c>
      <c r="E7" s="120" t="n">
        <v>-105</v>
      </c>
      <c r="F7" s="121" t="n">
        <v>185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0.57</v>
      </c>
      <c r="M7" s="143" t="inlineStr">
        <is>
          <t>Home, 7-game heater, Clark healthy; anchor · RESULT: Valkyries 88-75 — Fever lost outright by 13, spread dead</t>
        </is>
      </c>
    </row>
    <row r="8" ht="15" customHeight="1" s="86">
      <c r="A8" s="114" t="n">
        <v>2</v>
      </c>
      <c r="B8" s="90" t="inlineStr">
        <is>
          <t>Fever–Valkyries Over 169.5</t>
        </is>
      </c>
      <c r="C8" s="113" t="inlineStr">
        <is>
          <t>Headliner total</t>
        </is>
      </c>
      <c r="D8" s="114" t="inlineStr">
        <is>
          <t>Total</t>
        </is>
      </c>
      <c r="E8" s="120" t="n">
        <v>-115</v>
      </c>
      <c r="F8" s="121" t="n">
        <v>175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0.54</v>
      </c>
      <c r="M8" s="143" t="inlineStr">
        <is>
          <t>Two top-8 offenses, Clark pace, soft number · RESULT: 163 combined — 6.5 under the number</t>
        </is>
      </c>
    </row>
    <row r="9" ht="15" customHeight="1" s="86">
      <c r="A9" s="114" t="n">
        <v>3</v>
      </c>
      <c r="B9" s="90" t="inlineStr">
        <is>
          <t>Sparks–Lynx Over 182.5</t>
        </is>
      </c>
      <c r="C9" s="113" t="inlineStr">
        <is>
          <t>Afternoon total</t>
        </is>
      </c>
      <c r="D9" s="114" t="inlineStr">
        <is>
          <t>Total</t>
        </is>
      </c>
      <c r="E9" s="120" t="n">
        <v>-110</v>
      </c>
      <c r="F9" s="121" t="n">
        <v>160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0.55</v>
      </c>
      <c r="M9" s="143" t="inlineStr">
        <is>
          <t>Lynx offense + Sparks poor D &amp; fast pace · RESULT: Lynx 96-87 — 183 combined, over by half a point</t>
        </is>
      </c>
    </row>
    <row r="10" ht="15" customHeight="1" s="86">
      <c r="A10" s="114" t="n">
        <v>4</v>
      </c>
      <c r="B10" s="90" t="inlineStr">
        <is>
          <t>Caitlin Clark Over 22.5 points</t>
        </is>
      </c>
      <c r="C10" s="113" t="inlineStr">
        <is>
          <t>Fever G · player prop</t>
        </is>
      </c>
      <c r="D10" s="114" t="inlineStr">
        <is>
          <t>Prop</t>
        </is>
      </c>
      <c r="E10" s="120" t="n">
        <v>-110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0.54</v>
      </c>
      <c r="M10" s="143" t="inlineStr">
        <is>
          <t>Home usage vs beatable Valkyries D; Clark healthy, no minutes cap · RESULT: Clark 13 pts (4-14 FG, 1-8 3PT) in 26 min on minutes restriction — well under 22.5</t>
        </is>
      </c>
    </row>
    <row r="11" ht="15" customHeight="1" s="86">
      <c r="A11" s="114" t="n">
        <v>5</v>
      </c>
      <c r="B11" s="90" t="inlineStr">
        <is>
          <t>Chicago Sky ML</t>
        </is>
      </c>
      <c r="C11" s="113" t="inlineStr">
        <is>
          <t>vs Storm · afternoon</t>
        </is>
      </c>
      <c r="D11" s="114" t="inlineStr">
        <is>
          <t>Moneyline</t>
        </is>
      </c>
      <c r="E11" s="120" t="n">
        <v>-130</v>
      </c>
      <c r="F11" s="121" t="n">
        <v>140</v>
      </c>
      <c r="G11" s="122">
        <f>IF(E11&gt;0,F11*E11/100,F11*100/ABS(E11))</f>
        <v/>
      </c>
      <c r="H11" s="122">
        <f>F11+G11</f>
        <v/>
      </c>
      <c r="I11" s="138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0.58</v>
      </c>
      <c r="M11" s="143" t="inlineStr">
        <is>
          <t>vs 6-19 Storm, home side of bad-vs-bad · RESULT: Sky 95-90 over Storm — ML cashed</t>
        </is>
      </c>
    </row>
    <row r="12" ht="15" customHeight="1" s="86">
      <c r="A12" s="114" t="n">
        <v>6</v>
      </c>
      <c r="B12" s="90" t="inlineStr">
        <is>
          <t>Lynx -12.5</t>
        </is>
      </c>
      <c r="C12" s="113" t="inlineStr">
        <is>
          <t>vs Sparks · afternoon</t>
        </is>
      </c>
      <c r="D12" s="114" t="inlineStr">
        <is>
          <t>Spread</t>
        </is>
      </c>
      <c r="E12" s="120" t="n">
        <v>-110</v>
      </c>
      <c r="F12" s="121" t="n">
        <v>115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0.52</v>
      </c>
      <c r="M12" s="143" t="inlineStr">
        <is>
          <t>18-6 vs 10-12; sized down, back-door risk · RESULT: Lynx won by 9 — needed 13, spread dead</t>
        </is>
      </c>
    </row>
    <row r="13" ht="15" customHeight="1" s="86">
      <c r="A13" s="114" t="n">
        <v>7</v>
      </c>
      <c r="B13" s="90" t="inlineStr">
        <is>
          <t>LONGSHOT: 4-Leg Parlay</t>
        </is>
      </c>
      <c r="C13" s="113" t="inlineStr">
        <is>
          <t>Fever -3.5 / Lynx O182.5 / Fever O169.5 / Sky ML</t>
        </is>
      </c>
      <c r="D13" s="114" t="inlineStr">
        <is>
          <t>Parlay</t>
        </is>
      </c>
      <c r="E13" s="120" t="n">
        <v>1133</v>
      </c>
      <c r="F13" s="121" t="n">
        <v>75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54" t="n">
        <v>0.1</v>
      </c>
      <c r="M13" s="143" t="inlineStr">
        <is>
          <t>Cross-game stack; counts in longshot record · RESULT: Fever -3.5 leg dead at the first hurdle → parlay dead (longshot MISS, 0-for-6)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7A2E8D"/>
    <outlinePr summaryBelow="1" summaryRight="1"/>
    <pageSetUpPr fitToPage="0"/>
  </sheetPr>
  <dimension ref="A1:M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4" customWidth="1" style="85" min="2" max="2"/>
    <col width="26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7 — WORLD RUGBY NATIONS CUP · FINAL ROUND · JULY 18, 2026</t>
        </is>
      </c>
      <c r="H1" s="169" t="inlineStr">
        <is>
          <t>STATUS: ACTIVE — settles Sat night Jul 18</t>
        </is>
      </c>
    </row>
    <row r="2" ht="15" customHeight="1" s="86">
      <c r="A2" s="88" t="inlineStr">
        <is>
          <t>Source: cards/rugby-jul18-betting-card.html · Lines: freetips.com / Stake.com handicaps, finalized Fri Jul 17</t>
        </is>
      </c>
    </row>
    <row r="3" ht="15" customHeight="1" s="86">
      <c r="A3" s="88" t="inlineStr">
        <is>
          <t>Only 2 of 6 matches drew clean lines (tier-2 markets thin). $550 deployed on priced handicaps + longshot; $450 kept in the account, not at risk.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Georgia -12.5</t>
        </is>
      </c>
      <c r="C7" s="113" t="inlineStr">
        <is>
          <t>Chile vs Georgia · ~2 PM CT</t>
        </is>
      </c>
      <c r="D7" s="114" t="inlineStr">
        <is>
          <t>Handicap</t>
        </is>
      </c>
      <c r="E7" s="120" t="n">
        <v>-111</v>
      </c>
      <c r="F7" s="121" t="n">
        <v>340</v>
      </c>
      <c r="G7" s="122">
        <f>IF(E7&gt;0,F7*E7/100,F7*100/ABS(E7))</f>
        <v/>
      </c>
      <c r="H7" s="122">
        <f>F7+G7</f>
        <v/>
      </c>
      <c r="I7" s="138" t="inlineStr">
        <is>
          <t>Pending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0.6</v>
      </c>
      <c r="M7" s="143" t="inlineStr">
        <is>
          <t>Anchor — Georgia unbeaten, class of field; tipster 3-unit high play</t>
        </is>
      </c>
    </row>
    <row r="8" ht="15" customHeight="1" s="86">
      <c r="A8" s="114" t="n">
        <v>2</v>
      </c>
      <c r="B8" s="90" t="inlineStr">
        <is>
          <t>USA -3.5</t>
        </is>
      </c>
      <c r="C8" s="113" t="inlineStr">
        <is>
          <t>USA vs Spain · ~6:30 PM CT</t>
        </is>
      </c>
      <c r="D8" s="114" t="inlineStr">
        <is>
          <t>Handicap</t>
        </is>
      </c>
      <c r="E8" s="120" t="n">
        <v>-110</v>
      </c>
      <c r="F8" s="121" t="n">
        <v>150</v>
      </c>
      <c r="G8" s="122">
        <f>IF(E8&gt;0,F8*E8/100,F8*100/ABS(E8))</f>
        <v/>
      </c>
      <c r="H8" s="122">
        <f>F8+G8</f>
        <v/>
      </c>
      <c r="I8" s="138" t="inlineStr">
        <is>
          <t>Pending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0.54</v>
      </c>
      <c r="M8" s="143" t="inlineStr">
        <is>
          <t>Centerpiece — USA 2-0, backed to cover vs inconsistent Spain</t>
        </is>
      </c>
    </row>
    <row r="9" ht="15" customHeight="1" s="86">
      <c r="A9" s="114" t="n">
        <v>3</v>
      </c>
      <c r="B9" s="90" t="inlineStr">
        <is>
          <t>LONGSHOT: Georgia -12.5 + USA -3.5</t>
        </is>
      </c>
      <c r="C9" s="113" t="inlineStr">
        <is>
          <t>2-leg cross-match parlay</t>
        </is>
      </c>
      <c r="D9" s="114" t="inlineStr">
        <is>
          <t>Parlay</t>
        </is>
      </c>
      <c r="E9" s="120" t="n">
        <v>263</v>
      </c>
      <c r="F9" s="121" t="n">
        <v>60</v>
      </c>
      <c r="G9" s="122">
        <f>IF(E9&gt;0,F9*E9/100,F9*100/ABS(E9))</f>
        <v/>
      </c>
      <c r="H9" s="122">
        <f>F9+G9</f>
        <v/>
      </c>
      <c r="I9" s="138" t="inlineStr">
        <is>
          <t>Pending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0.32</v>
      </c>
      <c r="M9" s="143" t="inlineStr">
        <is>
          <t>Round's longshot (modest — only 2 markets priced); counts in longshot record</t>
        </is>
      </c>
    </row>
    <row r="10" ht="15" customHeight="1" s="86">
      <c r="B10" s="89" t="inlineStr">
        <is>
          <t>TOTALS (deployed)</t>
        </is>
      </c>
      <c r="F10" s="93">
        <f>SUM(F7:F9)</f>
        <v/>
      </c>
      <c r="G10" s="93">
        <f>SUM(G7:G9)</f>
        <v/>
      </c>
      <c r="H10" s="93">
        <f>SUM(H7:H9)</f>
        <v/>
      </c>
      <c r="J10" s="93">
        <f>SUM(J7:J9)</f>
        <v/>
      </c>
      <c r="K10" s="93">
        <f>SUM(K7:K9)</f>
        <v/>
      </c>
    </row>
  </sheetData>
  <conditionalFormatting sqref="K7:K10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9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2026-07-12T02:19:04Z</dcterms:created>
  <dcterms:modified xmlns:dcterms="http://purl.org/dc/terms/" xmlns:xsi="http://www.w3.org/2001/XMLSchema-instance" xsi:type="dcterms:W3CDTF">2026-07-18T19:12:40Z</dcterms:modified>
  <cp:revision>0</cp:revision>
</cp:coreProperties>
</file>