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<sst xmlns="http://schemas.openxmlformats.org/spreadsheetml/2006/main" count="803" uniqueCount="473">
  <si>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</si>
  <si>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</si>
  <si>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</si>
  <si>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</si>
  <si>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</si>
  <si>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</si>
  <si>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</si>
  <si>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</si>
  <si>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</si>
  <si>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</si>
  <si>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</si>
  <si>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</si>
  <si>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</si>
  <si>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</si>
  <si>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</si>
  <si>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</si>
  <si>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</si>
  <si>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</si>
  <si>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</si>
  <si>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</si>
  <si>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</si>
  <si>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</si>
  <si>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</si>
  <si>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</si>
  <si>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</si>
  <si>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</si>
  <si>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</si>
  <si>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</si>
  <si>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</si>
  <si>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</si>
  <si>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</si>
  <si>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</si>
  <si>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</si>
  <si>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</si>
  <si>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</si>
  <si>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</si>
  <si>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</si>
  <si>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</si>
  <si>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</si>
  <si>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</si>
  <si>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</si>
  <si>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</si>
  <si>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</si>
  <si>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</si>
  <si>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</si>
  <si>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</si>
  <si>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</si>
  <si>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</si>
  <si>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</si>
  <si>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</si>
  <si>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</si>
  <si>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</si>
  <si>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</si>
  <si>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</si>
  <si>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</si>
  <si>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</si>
  <si>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</si>
  <si>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</si>
  <si>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</si>
  <si>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</si>
  <si>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</si>
  <si>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</si>
  <si>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</si>
  <si>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</si>
  <si>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</si>
  <si>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</si>
  <si>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</si>
  <si>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</si>
  <si>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</si>
  <si>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</si>
  <si>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</si>
  <si>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</si>
  <si>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</si>
  <si>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</si>
  <si>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</si>
  <si>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</si>
  <si>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</si>
  <si>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</si>
  <si>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</si>
  <si>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</si>
  <si>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</si>
  <si>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</si>
  <si>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</si>
  <si>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</si>
  <si>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</si>
  <si>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</si>
  <si>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</si>
  <si>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</si>
  <si>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</si>
  <si>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</si>
  <si>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</si>
  <si>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</si>
  <si>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</si>
  <si>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</si>
  <si>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</si>
  <si>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</si>
  <si>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</si>
  <si>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</si>
  <si>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</si>
  <si>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</si>
  <si>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</si>
  <si>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</si>
  <si>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</si>
  <si>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</si>
  <si>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</si>
  <si>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</si>
  <si>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</si>
  <si>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</si>
  <si>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</si>
  <si>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</si>
  <si>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</si>
  <si>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</si>
  <si>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</si>
  <si>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</si>
  <si>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</si>
  <si>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</si>
  <si>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</si>
  <si>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</si>
  <si>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</si>
  <si>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</si>
  <si>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</si>
  <si>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</si>
  <si>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</si>
  <si>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</si>
  <si>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</si>
  <si>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</si>
  <si>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</si>
  <si>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</si>
  <si>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</si>
  <si>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</si>
  <si>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</si>
  <si>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</si>
  <si>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</si>
  <si>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</si>
  <si>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</si>
  <si>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</si>
  <si>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</si>
  <si>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</si>
  <si>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</si>
  <si>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</si>
  <si>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</si>
  <si>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</si>
  <si>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</si>
  <si>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</si>
  <si>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</si>
  <si>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</si>
  <si>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</si>
  <si>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</si>
  <si>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</si>
  <si>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</si>
  <si>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</si>
  <si>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</si>
  <si>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</si>
  <si>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</si>
  <si>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</si>
  <si>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</si>
  <si>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</si>
  <si>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</si>
  <si>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</si>
  <si>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</si>
  <si>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</si>
  <si>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</si>
  <si>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</si>
  <si>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</si>
  <si>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</si>
  <si>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</si>
  <si>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</si>
  <si>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</si>
  <si>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</si>
  <si>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</si>
  <si>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</si>
  <si>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</si>
  <si>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</si>
  <si>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</si>
  <si>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</si>
  <si>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</si>
  <si>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</si>
  <si>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</si>
  <si>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</si>
  <si>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</si>
  <si>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</si>
  <si>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</si>
  <si>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</si>
  <si>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</si>
  <si>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</si>
  <si>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</si>
  <si>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</si>
  <si>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</si>
  <si>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</si>
  <si>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</si>
  <si>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</si>
  <si>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</si>
  <si>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</si>
  <si>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</si>
  <si>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</si>
  <si>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</si>
  <si>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</si>
  <si>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</si>
  <si>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</si>
  <si>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</si>
  <si>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</si>
  <si>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</si>
  <si>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</si>
  <si>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</si>
  <si>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</si>
  <si>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</si>
  <si>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</si>
  <si>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</si>
  <si>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</si>
  <si>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</si>
  <si>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</si>
  <si>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</si>
  <si>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</si>
  <si>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</si>
  <si>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</si>
  <si>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</si>
  <si>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</si>
  <si>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</si>
  <si>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</si>
  <si>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</si>
  <si>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</si>
  <si>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</si>
  <si>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</si>
  <si>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</si>
  <si>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</si>
  <si>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</si>
  <si>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</si>
  <si>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</si>
  <si>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</si>
  <si>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</si>
  <si>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</si>
  <si>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</si>
  <si>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</si>
  <si>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</si>
  <si>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</si>
  <si>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</si>
  <si>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</si>
  <si>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</si>
  <si>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</si>
  <si>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</si>
  <si>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</si>
  <si>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</si>
  <si>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</si>
  <si>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</si>
  <si>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</si>
  <si>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</si>
  <si>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</si>
  <si>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</si>
  <si>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</si>
  <si>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</si>
  <si>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</si>
  <si>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</si>
  <si>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</si>
  <si>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</si>
  <si>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</si>
  <si>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</si>
  <si>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</si>
  <si>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</si>
  <si>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</si>
  <si>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</si>
  <si>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</si>
  <si>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</si>
  <si>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</si>
  <si>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</si>
  <si>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</si>
  <si>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</si>
  <si>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</si>
  <si>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</si>
  <si>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</si>
  <si>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</si>
  <si>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</si>
  <si>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</si>
  <si>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</si>
  <si>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</si>
  <si>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</si>
  <si>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</si>
  <si>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</si>
  <si>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</si>
  <si>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</si>
  <si>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</si>
  <si>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</si>
  <si>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</si>
  <si>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</si>
  <si>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</si>
  <si>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</si>
  <si>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</si>
  <si>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</si>
  <si>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</si>
  <si>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</si>
  <si>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</si>
  <si>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</si>
  <si>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</si>
  <si>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</si>
  <si>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</si>
  <si>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</si>
  <si>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</si>
  <si>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</si>
  <si>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</si>
  <si>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</si>
  <si>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</si>
  <si>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</si>
  <si>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</si>
  <si>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</si>
  <si>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</si>
  <si>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</si>
  <si>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</si>
  <si>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</si>
  <si>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</si>
  <si>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</si>
  <si>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</si>
  <si>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</si>
  <si>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</si>
  <si>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</si>
  <si>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</si>
  <si>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</si>
  <si>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</si>
  <si>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</si>
  <si>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</si>
  <si>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</si>
  <si>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</si>
  <si>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</si>
  <si>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</si>
  <si>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</si>
  <si>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</si>
  <si>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</si>
  <si>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</si>
  <si>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</si>
  <si>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</si>
  <si>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</si>
  <si>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</si>
  <si>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</si>
  <si>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</si>
  <si>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</si>
  <si>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</si>
  <si>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</si>
  <si>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</si>
  <si>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</si>
  <si>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</si>
  <si>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</si>
  <si>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</si>
  <si>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</si>
  <si>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</si>
  <si>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</si>
  <si>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</si>
  <si>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</si>
  <si>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</si>
  <si>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</si>
  <si>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</si>
  <si>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</si>
  <si>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</si>
  <si>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</si>
  <si>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</si>
  <si>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</si>
  <si>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</si>
  <si>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</si>
  <si>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</si>
  <si>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</si>
  <si>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</si>
  <si>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</si>
  <si>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</si>
  <si>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</si>
  <si>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</si>
  <si>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</si>
  <si>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</si>
  <si>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</si>
  <si>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</si>
  <si>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</si>
  <si>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</si>
  <si>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</si>
  <si>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</si>
  <si>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</si>
  <si>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</si>
  <si>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</si>
  <si>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</si>
  <si>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</si>
  <si>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</si>
  <si>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</si>
  <si>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</si>
  <si>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</si>
  <si>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</si>
  <si>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</si>
  <si>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</si>
  <si>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</si>
  <si>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</si>
  <si>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</si>
  <si>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</si>
  <si>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</si>
  <si>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</si>
  <si>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</si>
  <si>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</si>
  <si>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</si>
  <si>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</si>
  <si>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</si>
  <si>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</si>
  <si>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</si>
  <si>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</si>
  <si>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</si>
  <si>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</si>
  <si>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</si>
  <si>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</si>
  <si>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(1:30 PM UK): NEW LEADER Herbert -8 thru 12 (record 28 front nine); Suber 2nd -6 thru 17; Morikawa -5 thru 9, best on card, 3 back; Koepka/Fitzpatrick no in-play numbers (E / +2 overnight, cut watch). Cut ~+1 (53%).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</si>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</sst>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1943.68337513795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4" t="n">
        <v>7</v>
      </c>
      <c r="B19" s="25" t="s">
        <v>28</v>
      </c>
      <c r="C19" s="24" t="s">
        <v>29</v>
      </c>
      <c r="D19" s="26" t="s">
        <v>30</v>
      </c>
      <c r="E19" s="27" t="n">
        <v>0</v>
      </c>
      <c r="F19" s="27" t="n">
        <v>0</v>
      </c>
      <c r="G19" s="27" t="n">
        <v>0</v>
      </c>
      <c r="H19" s="27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31</v>
      </c>
      <c r="C20" s="14" t="s">
        <v>32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33</v>
      </c>
      <c r="C21" s="14" t="s">
        <v>34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35</v>
      </c>
      <c r="C22" s="14" t="s">
        <v>34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36</v>
      </c>
      <c r="C23" s="14" t="s">
        <v>34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37</v>
      </c>
      <c r="C24" s="14" t="s">
        <v>38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1000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-300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90</v>
      </c>
      <c r="J8" s="41" t="n">
        <f aca="false">IF(I8="Win",F8+G8,IF(I8="Push",F8,IF(I8="Loss",0,0)))</f>
        <v>218.360655737705</v>
      </c>
      <c r="K8" s="43" t="n">
        <f aca="false">IF(I8="Pending",0,J8-F8)</f>
        <v>98.3606557377049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90</v>
      </c>
      <c r="J9" s="41" t="n">
        <f aca="false">IF(I9="Win",F9+G9,IF(I9="Push",F9,IF(I9="Loss",0,0)))</f>
        <v>412.5</v>
      </c>
      <c r="K9" s="43" t="n">
        <f aca="false">IF(I9="Pending",0,J9-F9)</f>
        <v>262.5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-80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-250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-50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-50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630.860655737705</v>
      </c>
      <c r="K14" s="50" t="n">
        <f aca="false">SUM(K7:K13)</f>
        <v>-369.139344262295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2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5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37" t="s">
        <v>124</v>
      </c>
      <c r="C21" s="52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630.860655737705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-369.139344262295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-0.369139344262295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4" t="n">
        <v>7</v>
      </c>
      <c r="B13" s="25" t="s">
        <v>415</v>
      </c>
      <c r="C13" s="74" t="s">
        <v>416</v>
      </c>
      <c r="D13" s="24" t="s">
        <v>94</v>
      </c>
      <c r="E13" s="75" t="n">
        <v>-146</v>
      </c>
      <c r="F13" s="76" t="n">
        <v>120</v>
      </c>
      <c r="G13" s="27" t="n">
        <f aca="false">IF(E13&gt;0,F13*E13/100,F13*100/ABS(E13))</f>
        <v>82.1917808219178</v>
      </c>
      <c r="H13" s="27" t="n">
        <f aca="false">F13+G13</f>
        <v>202.191780821918</v>
      </c>
      <c r="I13" s="57" t="s">
        <v>123</v>
      </c>
      <c r="J13" s="27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40" t="n">
        <v>90</v>
      </c>
      <c r="G14" s="41" t="n">
        <f aca="false">IF(E14&gt;0,F14*E14/100,F14*100/ABS(E14))</f>
        <v>142.2</v>
      </c>
      <c r="H14" s="41" t="n">
        <f aca="false">F14+G14</f>
        <v>232.2</v>
      </c>
      <c r="I14" s="57" t="s">
        <v>123</v>
      </c>
      <c r="J14" s="41" t="n">
        <f aca="false">IF(I14="Win",F14+G14,IF(I14="Push",F14,IF(I14="Loss",0,0)))</f>
        <v>0</v>
      </c>
      <c r="K14" s="4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tru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40" t="n">
        <v>80</v>
      </c>
      <c r="G15" s="41" t="n">
        <f aca="false">IF(E15&gt;0,F15*E15/100,F15*100/ABS(E15))</f>
        <v>137.6</v>
      </c>
      <c r="H15" s="41" t="n">
        <f aca="false">F15+G15</f>
        <v>217.6</v>
      </c>
      <c r="I15" s="57" t="s">
        <v>123</v>
      </c>
      <c r="J15" s="41" t="n">
        <f aca="false">IF(I15="Win",F15+G15,IF(I15="Push",F15,IF(I15="Loss",0,0)))</f>
        <v>0</v>
      </c>
      <c r="K15" s="4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40" t="n">
        <v>70</v>
      </c>
      <c r="G16" s="41" t="n">
        <f aca="false">IF(E16&gt;0,F16*E16/100,F16*100/ABS(E16))</f>
        <v>114.8</v>
      </c>
      <c r="H16" s="41" t="n">
        <f aca="false">F16+G16</f>
        <v>184.8</v>
      </c>
      <c r="I16" s="57" t="s">
        <v>123</v>
      </c>
      <c r="J16" s="41" t="n">
        <f aca="false">IF(I16="Win",F16+G16,IF(I16="Push",F16,IF(I16="Loss",0,0)))</f>
        <v>0</v>
      </c>
      <c r="K16" s="4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0" t="s">
        <v>416</v>
      </c>
      <c r="D17" s="33" t="s">
        <v>94</v>
      </c>
      <c r="E17" s="39" t="n">
        <v>280</v>
      </c>
      <c r="F17" s="40" t="n">
        <v>40</v>
      </c>
      <c r="G17" s="41" t="n">
        <f aca="false">IF(E17&gt;0,F17*E17/100,F17*100/ABS(E17))</f>
        <v>112</v>
      </c>
      <c r="H17" s="41" t="n">
        <f aca="false">F17+G17</f>
        <v>152</v>
      </c>
      <c r="I17" s="57" t="s">
        <v>123</v>
      </c>
      <c r="J17" s="41" t="n">
        <f aca="false">IF(I17="Win",F17+G17,IF(I17="Push",F17,IF(I17="Loss",0,0)))</f>
        <v>0</v>
      </c>
      <c r="K17" s="4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1" t="s">
        <v>426</v>
      </c>
      <c r="C18" s="51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3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4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-185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-175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90</v>
      </c>
      <c r="J9" s="41" t="n">
        <f aca="false">IF(I9="Win",F9+G9,IF(I9="Push",F9,IF(I9="Loss",0,0)))</f>
        <v>305.454545454546</v>
      </c>
      <c r="K9" s="43" t="n">
        <f aca="false">IF(I9="Pending",0,J9-F9)</f>
        <v>145.454545454546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90</v>
      </c>
      <c r="J11" s="41" t="n">
        <f aca="false">IF(I11="Win",F11+G11,IF(I11="Push",F11,IF(I11="Loss",0,0)))</f>
        <v>247.692307692308</v>
      </c>
      <c r="K11" s="43" t="n">
        <f aca="false">IF(I11="Pending",0,J11-F11)</f>
        <v>107.692307692308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-115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2026-07-17T12:24:42Z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