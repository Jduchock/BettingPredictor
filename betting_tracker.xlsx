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FC 329" sheetId="2" state="visible" r:id="rId4"/>
    <sheet name="World Cup 2026" sheetId="3" state="visible" r:id="rId5"/>
    <sheet name="MLB Jul 12" sheetId="4" state="visible" r:id="rId6"/>
    <sheet name="NASCAR Jul 12" sheetId="5" state="visible" r:id="rId7"/>
    <sheet name="References" sheetId="6" state="visible" r:id="rId8"/>
    <sheet name="WNBA Jul 12" sheetId="7" state="visible" r:id="rId9"/>
    <sheet name="The Open" sheetId="8" state="visible" r:id="rId10"/>
    <sheet name="HR Derby" sheetId="9" state="visible" r:id="rId11"/>
    <sheet name="WNBA Jul 15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<sst xmlns="http://schemas.openxmlformats.org/spreadsheetml/2006/main" count="803" uniqueCount="473">
  <si>
    <t xml:space="preserve">BETTING TEST ACCOUNT — ROLL-UP DASHBOARD</t>
  </si>
  <si>
    <t xml:space="preserve">Account rules: $5,000 total account · max $1,000 staked per card · max 4 cards active at any time. QUEUED cards hold no money and don't count against the cap. Settled cards archive after 7 days.</t>
  </si>
  <si>
    <t xml:space="preserve">ACCOUNT SUMMARY</t>
  </si>
  <si>
    <t xml:space="preserve">Starting Account</t>
  </si>
  <si>
    <t xml:space="preserve">Net P/L to Date (all cards)</t>
  </si>
  <si>
    <t xml:space="preserve">Current Account Balance</t>
  </si>
  <si>
    <t xml:space="preserve">At Risk (stakes on pending bets)</t>
  </si>
  <si>
    <t xml:space="preserve">Available to Deploy</t>
  </si>
  <si>
    <t xml:space="preserve">Active Cards</t>
  </si>
  <si>
    <t xml:space="preserve">Per-Card Stake Cap</t>
  </si>
  <si>
    <t xml:space="preserve">$1,000 (UFC card staked $1,050 — pre-dates rule; grandfathered)</t>
  </si>
  <si>
    <t xml:space="preserve">CARD TIMELINE — SORTED BY NEXT ACTION (settled at bottom)</t>
  </si>
  <si>
    <t xml:space="preserve">#</t>
  </si>
  <si>
    <t xml:space="preserve">Card / Event</t>
  </si>
  <si>
    <t xml:space="preserve">Event Date(s)</t>
  </si>
  <si>
    <t xml:space="preserve">Status</t>
  </si>
  <si>
    <t xml:space="preserve">Staked</t>
  </si>
  <si>
    <t xml:space="preserve">At Risk (pending)</t>
  </si>
  <si>
    <t xml:space="preserve">Returned to Date</t>
  </si>
  <si>
    <t xml:space="preserve">Net P/L to Date</t>
  </si>
  <si>
    <t xml:space="preserve">WNBA Wednesday Slate</t>
  </si>
  <si>
    <t xml:space="preserve">2026-07-15</t>
  </si>
  <si>
    <t xml:space="preserve">SETTLED</t>
  </si>
  <si>
    <t xml:space="preserve">World Cup 2026 — Final Four</t>
  </si>
  <si>
    <t xml:space="preserve">Jul 14-19</t>
  </si>
  <si>
    <t xml:space="preserve">The Open Championship (golf)</t>
  </si>
  <si>
    <t xml:space="preserve">Jul 16-19</t>
  </si>
  <si>
    <t xml:space="preserve">ACTIVE</t>
  </si>
  <si>
    <t xml:space="preserve">Rugby Nations Cup — Final Rd</t>
  </si>
  <si>
    <t xml:space="preserve">2026-07-18</t>
  </si>
  <si>
    <t xml:space="preserve">QUEUED</t>
  </si>
  <si>
    <t xml:space="preserve">MLB Home Run Derby</t>
  </si>
  <si>
    <t xml:space="preserve">2026-07-13</t>
  </si>
  <si>
    <t xml:space="preserve">NASCAR Quaker State 400</t>
  </si>
  <si>
    <t xml:space="preserve">2026-07-12</t>
  </si>
  <si>
    <t xml:space="preserve">WNBA Sunday Doubleheader</t>
  </si>
  <si>
    <t xml:space="preserve">MLB Sunday Slate (15 games)</t>
  </si>
  <si>
    <t xml:space="preserve">UFC 329: McGregor vs Holloway 2</t>
  </si>
  <si>
    <t xml:space="preserve">2026-07-11</t>
  </si>
  <si>
    <t xml:space="preserve">TOTALS</t>
  </si>
  <si>
    <t xml:space="preserve">🎲 LONGSHOT TRACKER — one per card, hit/miss record</t>
  </si>
  <si>
    <t xml:space="preserve">Card</t>
  </si>
  <si>
    <t xml:space="preserve">Longshot</t>
  </si>
  <si>
    <t xml:space="preserve">Odds</t>
  </si>
  <si>
    <t xml:space="preserve">Stake</t>
  </si>
  <si>
    <t xml:space="preserve">Test 1 · UFC 329</t>
  </si>
  <si>
    <t xml:space="preserve">McGregor KO/TKO/Sub R1</t>
  </si>
  <si>
    <t xml:space="preserve">+250</t>
  </si>
  <si>
    <t xml:space="preserve">MISS</t>
  </si>
  <si>
    <t xml:space="preserve">Test 3 · MLB Jul 12</t>
  </si>
  <si>
    <t xml:space="preserve">3-leg ML parlay (PIT+CIN+ATH)</t>
  </si>
  <si>
    <t xml:space="preserve">+732</t>
  </si>
  <si>
    <t xml:space="preserve">Test 4 · NASCAR Jul 12</t>
  </si>
  <si>
    <t xml:space="preserve">Kyle Larson to win</t>
  </si>
  <si>
    <t xml:space="preserve">+1900</t>
  </si>
  <si>
    <t xml:space="preserve">Test 5 · WNBA Jul 12</t>
  </si>
  <si>
    <t xml:space="preserve">4-leg cross-game parlay</t>
  </si>
  <si>
    <t xml:space="preserve">+971</t>
  </si>
  <si>
    <t xml:space="preserve">Test 6 · The Open</t>
  </si>
  <si>
    <t xml:space="preserve">Brooks Koepka outright</t>
  </si>
  <si>
    <t xml:space="preserve">+5000</t>
  </si>
  <si>
    <t xml:space="preserve">Test 7 · Rugby Jul 18</t>
  </si>
  <si>
    <t xml:space="preserve">TBD at finalization</t>
  </si>
  <si>
    <t xml:space="preserve">TBD</t>
  </si>
  <si>
    <t xml:space="preserve">Queued</t>
  </si>
  <si>
    <t xml:space="preserve">Test 8 · HR Derby</t>
  </si>
  <si>
    <t xml:space="preserve">Willson Contreras outright</t>
  </si>
  <si>
    <t xml:space="preserve">+1400</t>
  </si>
  <si>
    <t xml:space="preserve">Test 9 · WNBA Jul 15</t>
  </si>
  <si>
    <t xml:space="preserve">+1133</t>
  </si>
  <si>
    <t xml:space="preserve">LONGSHOT HIT RATE</t>
  </si>
  <si>
    <t xml:space="preserve">Note: WC card carries an England hedge, not a longshot — excluded. UFC longshot was $0-stake and missed.</t>
  </si>
  <si>
    <t xml:space="preserve">TEST 1 — UFC 329: McGREGOR vs HOLLOWAY 2</t>
  </si>
  <si>
    <t xml:space="preserve">STATUS: ARCHIVED — settled Jul 11, 2026 (drops off dashboard Jul 18)</t>
  </si>
  <si>
    <t xml:space="preserve">T-Mobile Arena, Las Vegas · July 11, 2026 · Source: ufc329-betting-card.html (odds: DraftKings/BetMGM/CBS as of Jul 11, 2026)</t>
  </si>
  <si>
    <t xml:space="preserve">Budget $1,000 deployed on 8 straight bets + $50 bonus parlay = $1,050 total exposure (parlay was flagged as a bonus play on the card).</t>
  </si>
  <si>
    <t xml:space="preserve">ACTIVE BETS</t>
  </si>
  <si>
    <t xml:space="preserve">Pick</t>
  </si>
  <si>
    <t xml:space="preserve">Fight / Market</t>
  </si>
  <si>
    <t xml:space="preserve">Bet Type</t>
  </si>
  <si>
    <t xml:space="preserve">Odds (Am.)</t>
  </si>
  <si>
    <t xml:space="preserve">To Win</t>
  </si>
  <si>
    <t xml:space="preserve">Potential Return</t>
  </si>
  <si>
    <t xml:space="preserve">Result</t>
  </si>
  <si>
    <t xml:space="preserve">Returned</t>
  </si>
  <si>
    <t xml:space="preserve">P/L</t>
  </si>
  <si>
    <t xml:space="preserve">Notes</t>
  </si>
  <si>
    <t xml:space="preserve">Max Holloway ML</t>
  </si>
  <si>
    <t xml:space="preserve">vs Conor McGregor · WW Main Event</t>
  </si>
  <si>
    <t xml:space="preserve">Moneyline</t>
  </si>
  <si>
    <t xml:space="preserve">Win</t>
  </si>
  <si>
    <t xml:space="preserve">Anchor play — 78% confidence on card · RESULT: Holloway TKO (McGregor knee injury) R1 1:09</t>
  </si>
  <si>
    <t xml:space="preserve">Holloway by KO/TKO</t>
  </si>
  <si>
    <t xml:space="preserve">vs McGregor · Method of victory</t>
  </si>
  <si>
    <t xml:space="preserve">Prop</t>
  </si>
  <si>
    <t xml:space="preserve">Card's 'best value' — predicted R3 stoppage · RESULT: Official method TKO — graded Win (injury stoppage; see note)</t>
  </si>
  <si>
    <t xml:space="preserve">Benoît Saint-Denis ML</t>
  </si>
  <si>
    <t xml:space="preserve">vs Paddy Pimblett · LW Co-Main</t>
  </si>
  <si>
    <t xml:space="preserve">Loss</t>
  </si>
  <si>
    <t xml:space="preserve">4 straight stoppage wins · RESULT: Pimblett subbed BSD (D'Arce) R1 0:52</t>
  </si>
  <si>
    <t xml:space="preserve">Mario Bautista ML</t>
  </si>
  <si>
    <t xml:space="preserve">vs Cory Sandhagen · BW</t>
  </si>
  <si>
    <t xml:space="preserve">10-1 in last 11, underdog value · RESULT: Bautista UD 29-28 x3</t>
  </si>
  <si>
    <t xml:space="preserve">Lone'er Kavanagh ML</t>
  </si>
  <si>
    <t xml:space="preserve">vs Brandon Royval · FLW</t>
  </si>
  <si>
    <t xml:space="preserve">Dominated Moreno; market agrees · RESULT: Royval subbed Kavanagh (RNC) R3 3:39</t>
  </si>
  <si>
    <t xml:space="preserve">Robert Whittaker ML</t>
  </si>
  <si>
    <t xml:space="preserve">vs Nikita Krylov · LHW (prelim)</t>
  </si>
  <si>
    <t xml:space="preserve">Slight edge at near-even price · RESULT: Whittaker KO (punch) R3 1:01</t>
  </si>
  <si>
    <t xml:space="preserve">Luke Riley ML</t>
  </si>
  <si>
    <t xml:space="preserve">vs Kamaka III · FW (prelim)</t>
  </si>
  <si>
    <t xml:space="preserve">Unbeaten prospect · RESULT: Riley TKO R1 3:03</t>
  </si>
  <si>
    <t xml:space="preserve">Damian Pinas ML</t>
  </si>
  <si>
    <t xml:space="preserve">vs Cesar Almeida · MW (early prelim)</t>
  </si>
  <si>
    <t xml:space="preserve">5-fight KO streak, 5.5" reach edge · RESULT: Pinas KO (punch) R1 4:44</t>
  </si>
  <si>
    <t xml:space="preserve">3-Leg Parlay</t>
  </si>
  <si>
    <t xml:space="preserve">Holloway KO/TKO + Saint-Denis ML + Bautista ML</t>
  </si>
  <si>
    <t xml:space="preserve">Parlay</t>
  </si>
  <si>
    <t xml:space="preserve">Bonus play — combined ≈ +443 · RESULT: Parlay dead — Saint-Denis leg lost (other 2 legs won)</t>
  </si>
  <si>
    <t xml:space="preserve">SCORECARD</t>
  </si>
  <si>
    <t xml:space="preserve">Wins</t>
  </si>
  <si>
    <t xml:space="preserve">Losses</t>
  </si>
  <si>
    <t xml:space="preserve">Pushes</t>
  </si>
  <si>
    <t xml:space="preserve">Pending</t>
  </si>
  <si>
    <t xml:space="preserve">Hit Rate</t>
  </si>
  <si>
    <t xml:space="preserve">Total Staked</t>
  </si>
  <si>
    <t xml:space="preserve">Total Returned</t>
  </si>
  <si>
    <t xml:space="preserve">Net P/L</t>
  </si>
  <si>
    <t xml:space="preserve">ROI</t>
  </si>
  <si>
    <t xml:space="preserve">Max Return (all hit)</t>
  </si>
  <si>
    <t xml:space="preserve">SKIPPED FIGHTS &amp; $0 PLAYS (tracked to grade the skip decisions — no money at stake)</t>
  </si>
  <si>
    <t xml:space="preserve">Fight</t>
  </si>
  <si>
    <t xml:space="preserve">Card Note</t>
  </si>
  <si>
    <t xml:space="preserve">Listed Odds</t>
  </si>
  <si>
    <t xml:space="preserve">Winner (fill in)</t>
  </si>
  <si>
    <t xml:space="preserve">Skip Verdict (fill in)</t>
  </si>
  <si>
    <t xml:space="preserve">Terrance McKinney vs King Green</t>
  </si>
  <si>
    <t xml:space="preserve">Skip — coin flip, line too short for juice</t>
  </si>
  <si>
    <t xml:space="preserve">-115</t>
  </si>
  <si>
    <t xml:space="preserve">King Green (TKO R1)</t>
  </si>
  <si>
    <t xml:space="preserve">GOOD SKIP — McKinney side lost</t>
  </si>
  <si>
    <t xml:space="preserve">Gable Steveson vs Ellison</t>
  </si>
  <si>
    <t xml:space="preserve">Skip — -1450 juice, no payout worth risk</t>
  </si>
  <si>
    <t xml:space="preserve">-1450</t>
  </si>
  <si>
    <t xml:space="preserve">Steveson (TKO R1)</t>
  </si>
  <si>
    <t xml:space="preserve">Good skip — won but -1450 payout tiny</t>
  </si>
  <si>
    <t xml:space="preserve">Adrian Yanez vs Cody Garbrandt</t>
  </si>
  <si>
    <t xml:space="preserve">Skip — -425 too juiced; Garbrandt KO risk</t>
  </si>
  <si>
    <t xml:space="preserve">-425</t>
  </si>
  <si>
    <t xml:space="preserve">Yanez (TKO R1)</t>
  </si>
  <si>
    <t xml:space="preserve">Fair skip — won, but -425 risk was real</t>
  </si>
  <si>
    <t xml:space="preserve">Farid Basharat vs Garza</t>
  </si>
  <si>
    <t xml:space="preserve">Skip — -675 unplayable juice</t>
  </si>
  <si>
    <t xml:space="preserve">-675</t>
  </si>
  <si>
    <t xml:space="preserve">Basharat (UD)</t>
  </si>
  <si>
    <t xml:space="preserve">Fair skip — won at -675, tiny payout</t>
  </si>
  <si>
    <t xml:space="preserve">Wang Cong vs Tracy Cortez</t>
  </si>
  <si>
    <t xml:space="preserve">Skip — true pick'em</t>
  </si>
  <si>
    <t xml:space="preserve">-118</t>
  </si>
  <si>
    <t xml:space="preserve">Wang Cong (UD)</t>
  </si>
  <si>
    <t xml:space="preserve">Neutral — true pick'em, no lean</t>
  </si>
  <si>
    <t xml:space="preserve">McGregor KO/TKO/Sub R1 (longshot)</t>
  </si>
  <si>
    <t xml:space="preserve">$0 stake — flagged as fun play only at +250</t>
  </si>
  <si>
    <t xml:space="preserve">Did not hit — McGregor lost R1</t>
  </si>
  <si>
    <t xml:space="preserve">GOOD $0 — would have lost stake</t>
  </si>
  <si>
    <t xml:space="preserve">Yellow cells = fill in results here (Result column: Win / Loss / Push / Pending via dropdown). Blue = inputs. Black = formulas — don't overwrite.</t>
  </si>
  <si>
    <t xml:space="preserve">Note: the HTML card's "$2,741 if all hit" figure overstates the true max return — the formulas here compute the correct number from odds and stakes.</t>
  </si>
  <si>
    <t xml:space="preserve">Grading note: Holloway 'by KO/TKO' graded WIN — official result was TKO (R1 1:09, McGregor knee injury on jumping kick). Standard book grading follows the official method (TKO), though a few books void injury stoppages; we use official-result grading for this test.</t>
  </si>
  <si>
    <t xml:space="preserve">TEST 2 — FIFA WORLD CUP 2026: THE FINAL FOUR</t>
  </si>
  <si>
    <t xml:space="preserve">STATUS: SETTLED — 2-5, -$369.14 · Both semifinal sides advance against us; final is Spain-Argentina</t>
  </si>
  <si>
    <t xml:space="preserve">Semifinals Jul 14-15 · Final Jul 19 (MetLife) · Source: wc2026-betting-card.html · Odds: BetMGM outrights Jul 11, FanDuel/DK semifinal openers Jul 11-12</t>
  </si>
  <si>
    <t xml:space="preserve">Budget $1,000 fully deployed on 7 bets. NOTE: portfolio is hedged — Arg ML vs Draw, and France vs England outrights are mutually exclusive; best case = 5 of 7 cash (+$929).</t>
  </si>
  <si>
    <t xml:space="preserve">Match / Market</t>
  </si>
  <si>
    <t xml:space="preserve">France to Advance to Final</t>
  </si>
  <si>
    <t xml:space="preserve">vs Spain · SF1 · Tue Jul 14 (incl. ET/pens)</t>
  </si>
  <si>
    <t xml:space="preserve">To Advance</t>
  </si>
  <si>
    <t xml:space="preserve">Anchor — 62% confidence, most complete squad left · RESULT: Spain 2-0 France — France out, ticket dead</t>
  </si>
  <si>
    <t xml:space="preserve">France vs Spain Under 2.5 (90')</t>
  </si>
  <si>
    <t xml:space="preserve">SF1 total goals</t>
  </si>
  <si>
    <t xml:space="preserve">Total</t>
  </si>
  <si>
    <t xml:space="preserve">Spain 1 GA all tournament; France 0 GA in knockouts · RESULT: 2 goals in the match — under 2.5 cashes</t>
  </si>
  <si>
    <t xml:space="preserve">Argentina ML (90 min)</t>
  </si>
  <si>
    <t xml:space="preserve">vs England · SF2 · Wed Jul 15, Atlanta</t>
  </si>
  <si>
    <t xml:space="preserve">3-Way ML</t>
  </si>
  <si>
    <t xml:space="preserve">Messi scored in every game (8); England needed AET in QF · RESULT: Argentina 2-1 in 90 (Fernandez 85, Lautaro 90+2 after Gordon 55) — ML cashes</t>
  </si>
  <si>
    <t xml:space="preserve">Argentina vs England Draw (90')</t>
  </si>
  <si>
    <t xml:space="preserve">SF2 · pairs with Arg ML</t>
  </si>
  <si>
    <t xml:space="preserve">Structured: only England 90' win beats both tickets · RESULT: decided in regulation, no draw — ticket dead</t>
  </si>
  <si>
    <t xml:space="preserve">France to Win World Cup</t>
  </si>
  <si>
    <t xml:space="preserve">Outright · Final Jul 19</t>
  </si>
  <si>
    <t xml:space="preserve">Outright</t>
  </si>
  <si>
    <t xml:space="preserve">Book 38.5% implied vs Kalshi 40.7% — value on the favorite · RESULT: France eliminated in semis by Spain — outright dead</t>
  </si>
  <si>
    <t xml:space="preserve">England to Win World Cup</t>
  </si>
  <si>
    <t xml:space="preserve">Outright · hedge ticket</t>
  </si>
  <si>
    <t xml:space="preserve">Pays if the coin-flip semi goes against our Argentina lean · RESULT: England eliminated in semis by Argentina — outright dead</t>
  </si>
  <si>
    <t xml:space="preserve">2-Leg Parlay</t>
  </si>
  <si>
    <t xml:space="preserve">France to Advance (-144) + Arg/Eng U2.5 (-155)</t>
  </si>
  <si>
    <t xml:space="preserve">Chalk + under · combined ≈ +179 · RESULT: France to Advance leg dead (and Arg-Eng went over 2.5) — parlay dead</t>
  </si>
  <si>
    <t xml:space="preserve">Best-Case P/L (hedged book)</t>
  </si>
  <si>
    <t xml:space="preserve">SKIPPED MARKETS (tracked to grade skip decisions — no money at stake)</t>
  </si>
  <si>
    <t xml:space="preserve">Market</t>
  </si>
  <si>
    <t xml:space="preserve">Outcome (fill in)</t>
  </si>
  <si>
    <t xml:space="preserve">Spain to Win World Cup</t>
  </si>
  <si>
    <t xml:space="preserve">Skip — book implies 25% vs Kalshi 17%; worst price on board</t>
  </si>
  <si>
    <t xml:space="preserve">+300</t>
  </si>
  <si>
    <t xml:space="preserve">Argentina to Win World Cup</t>
  </si>
  <si>
    <t xml:space="preserve">Skip — fair price but doubles Arg ML exposure</t>
  </si>
  <si>
    <t xml:space="preserve">+400</t>
  </si>
  <si>
    <t xml:space="preserve">England ML 90' (vs Argentina)</t>
  </si>
  <si>
    <t xml:space="preserve">Skip — took the Arg/Draw structure instead</t>
  </si>
  <si>
    <t xml:space="preserve">+180</t>
  </si>
  <si>
    <t xml:space="preserve">France ML 90' (vs Spain)</t>
  </si>
  <si>
    <t xml:space="preserve">Skip — to-advance line covers the ET/pens path</t>
  </si>
  <si>
    <t xml:space="preserve">+130</t>
  </si>
  <si>
    <t xml:space="preserve">Yellow cells = fill in results (Result dropdown: Win/Loss/Push/Pending). Blue = inputs. Black = formulas. Parlay 'to win' uses +179 (exact combined -144 × -155 = +178.8; ~$0.12 rounding).</t>
  </si>
  <si>
    <t xml:space="preserve">TEST 3 — MLB SUNDAY SLATE · JULY 12, 2026</t>
  </si>
  <si>
    <t xml:space="preserve">STATUS: ARCHIVED — settled Jul 12 (3-5, -$197.77)</t>
  </si>
  <si>
    <t xml:space="preserve">15-game slate, 8 bets · Source: mlb-jul12-betting-card.html · Lines: ESPN consensus board, Sunday AM · Research: VSiN, PickDawgz, DK Network</t>
  </si>
  <si>
    <t xml:space="preserve">Budget $1,000 fully deployed. Est. Win % = our model; card expected value ≈ +$45 (~3.9 of 8 expected to cash).</t>
  </si>
  <si>
    <t xml:space="preserve">Game / Market</t>
  </si>
  <si>
    <t xml:space="preserve">Est. Win %</t>
  </si>
  <si>
    <t xml:space="preserve">Giants ML</t>
  </si>
  <si>
    <t xml:space="preserve">vs Rockies · McDonald vs Lorenzen (6.46 ERA)</t>
  </si>
  <si>
    <t xml:space="preserve">Safest play — Lorenzen 1.4 HR/9, Rockies worst road team · RESULT: SF 3-1 · Lorenzen fade lands</t>
  </si>
  <si>
    <t xml:space="preserve">Athletics ML</t>
  </si>
  <si>
    <t xml:space="preserve">@ White Sox · Ginn (2.49 road ERA) vs Schultz (5.4 BB/9)</t>
  </si>
  <si>
    <t xml:space="preserve">Clearest starter mismatch priced near even · RESULT: CWS 9-1 · Ginn 8 ER in 4.1, six-run 1st</t>
  </si>
  <si>
    <t xml:space="preserve">Tigers ML</t>
  </si>
  <si>
    <t xml:space="preserve">vs Phillies · Skubal vs Wheeler ace duel</t>
  </si>
  <si>
    <t xml:space="preserve">Bullpen edge: DET 3.10 ERA (3rd) vs PHI 5.41 (26th) since Jun 1 · RESULT: PHI 5-0 · Wheeler 10 K shutout; pen edge moot</t>
  </si>
  <si>
    <t xml:space="preserve">Royals @ Orioles Under 9.5</t>
  </si>
  <si>
    <t xml:space="preserve">Totals · Lugo vs Baz</t>
  </si>
  <si>
    <t xml:space="preserve">KC last in road scoring 3.8 R/G; Baz 3.78 FIP · RESULT: BAL 8-2 · 10 combined runs, over by half a run</t>
  </si>
  <si>
    <t xml:space="preserve">Pirates ML</t>
  </si>
  <si>
    <t xml:space="preserve">vs Brewers · Skenes (2.98 FIP) at home</t>
  </si>
  <si>
    <t xml:space="preserve">Plus money on slate's best pitcher; PIT swept Sat DH; Gasser 4.98 FIP · RESULT: PIT 14-5 F, Skenes W (5.1 IP, 7 K), Gasser 7 ER</t>
  </si>
  <si>
    <t xml:space="preserve">Reds ML</t>
  </si>
  <si>
    <t xml:space="preserve">vs Cubs · Abbott ≤3 ER in 14 straight starts</t>
  </si>
  <si>
    <t xml:space="preserve">Home dog with the more reliable starter · RESULT: CHC 8-4 · home-dog value didn't land</t>
  </si>
  <si>
    <t xml:space="preserve">Mariners ML</t>
  </si>
  <si>
    <t xml:space="preserve">@ Rays · Hancock 3.23 vs Seymour 4.11</t>
  </si>
  <si>
    <t xml:space="preserve">Seymour's 6-1 record masks a 4.11 ERA · RESULT: SEA 8-2 · Crawford 3 RBI; pen covered Hancock's exit</t>
  </si>
  <si>
    <t xml:space="preserve">Longshot: 3-Leg ML Parlay</t>
  </si>
  <si>
    <t xml:space="preserve">Pirates ML +104 / Reds ML +108 / Athletics ML -104</t>
  </si>
  <si>
    <t xml:space="preserve">The mandatory longshot — stacks our three value legs · RESULT: Parlay dead — Reds &amp; A's legs lost (PIT leg won)</t>
  </si>
  <si>
    <t xml:space="preserve">Expected Wins (model)</t>
  </si>
  <si>
    <t xml:space="preserve">Expected Value (model)</t>
  </si>
  <si>
    <t xml:space="preserve">SKIPPED GAMES (tracked to grade skip decisions — no money at stake)</t>
  </si>
  <si>
    <t xml:space="preserve">Game</t>
  </si>
  <si>
    <t xml:space="preserve">Listed Line</t>
  </si>
  <si>
    <t xml:space="preserve">Yankees @ Nationals</t>
  </si>
  <si>
    <t xml:space="preserve">Skip — near coin flip, no starter edge</t>
  </si>
  <si>
    <t xml:space="preserve">NYY -114</t>
  </si>
  <si>
    <t xml:space="preserve">Red Sox @ Mets</t>
  </si>
  <si>
    <t xml:space="preserve">Skip — Tolle good but line already fair</t>
  </si>
  <si>
    <t xml:space="preserve">BOS -126</t>
  </si>
  <si>
    <t xml:space="preserve">Guardians @ Marlins</t>
  </si>
  <si>
    <t xml:space="preserve">Skip — no edge either way</t>
  </si>
  <si>
    <t xml:space="preserve">MIA -115</t>
  </si>
  <si>
    <t xml:space="preserve">Angels @ Twins</t>
  </si>
  <si>
    <t xml:space="preserve">Skip — no edge</t>
  </si>
  <si>
    <t xml:space="preserve">MIN -136</t>
  </si>
  <si>
    <t xml:space="preserve">Braves @ Cardinals</t>
  </si>
  <si>
    <t xml:space="preserve">Skip — two 4.5+ ERA starters, unpredictable</t>
  </si>
  <si>
    <t xml:space="preserve">STL -136</t>
  </si>
  <si>
    <t xml:space="preserve">Astros @ Rangers</t>
  </si>
  <si>
    <t xml:space="preserve">Skip — Javier 10.22 ERA returning, unquantifiable</t>
  </si>
  <si>
    <t xml:space="preserve">TEX -131</t>
  </si>
  <si>
    <t xml:space="preserve">D-backs @ Dodgers</t>
  </si>
  <si>
    <t xml:space="preserve">Skip — LAD -219 too juiced; ARI +178 tempting but pass</t>
  </si>
  <si>
    <t xml:space="preserve">LAD -219</t>
  </si>
  <si>
    <t xml:space="preserve">Blue Jays @ Padres</t>
  </si>
  <si>
    <t xml:space="preserve">Skip — Gausman 4-8, no edge</t>
  </si>
  <si>
    <t xml:space="preserve">TOR -126</t>
  </si>
  <si>
    <t xml:space="preserve">Yellow = fill in results (dropdown: Win/Loss/Push/Pending). Blue = inputs. Black = formulas. Parlay odds +732 = (+104 × +108 × -104) compounded; grades as one bet.</t>
  </si>
  <si>
    <t xml:space="preserve">TEST 4 — NASCAR QUAKER STATE 400 · ECHOPARK SPEEDWAY (ATLANTA) · JULY 12, 2026</t>
  </si>
  <si>
    <t xml:space="preserve">STATUS: SETTLED — Blaney won in OT ~12:55 AM CT Mon after 3h lightning red flag · card 1-6, net -$434.51</t>
  </si>
  <si>
    <t xml:space="preserve">Race ~7:00 PM ET on TNT · Source: nascar-jul12-betting-card.html · Odds: Covers/VSiN/CBS (FanDuel) consensus, Sunday PM</t>
  </si>
  <si>
    <t xml:space="preserve">HIGH-VARIANCE TEST: drafting track, 38 DNFs in last 4 races. Bets 3-7 are a mutually exclusive winner basket — at most one can cash. Expected hits ~1.2 of 7 by design.</t>
  </si>
  <si>
    <t xml:space="preserve">Blaney beats Byron (H2H)</t>
  </si>
  <si>
    <t xml:space="preserve">Head-to-head finishing matchup</t>
  </si>
  <si>
    <t xml:space="preserve">Matchup</t>
  </si>
  <si>
    <t xml:space="preserve">7 top-10s in last 8 here; 1 wreck in 16 starts vs Byron's 4 in 14 · WIN — Blaney won the race outright (OT, ~12:55 AM CT Mon); H2H over Byron clinched</t>
  </si>
  <si>
    <t xml:space="preserve">Daniel Suarez Top-5</t>
  </si>
  <si>
    <t xml:space="preserve">Finishing position prop</t>
  </si>
  <si>
    <t xml:space="preserve">Top-5 in 4 of last 6 Atlanta races; biggest % edge on card · LOSS — official top 5: Blaney, Bell, Hocevar, Gibbs, E. Jones; Suárez outside top 5</t>
  </si>
  <si>
    <t xml:space="preserve">Chase Elliott to Win</t>
  </si>
  <si>
    <t xml:space="preserve">Outright winner</t>
  </si>
  <si>
    <t xml:space="preserve">Defending race winner, Georgia native, Chevy won 4 of last 5 here · LOSS — Elliott did not win (Blaney P1)</t>
  </si>
  <si>
    <t xml:space="preserve">Carson Hocevar to Win</t>
  </si>
  <si>
    <t xml:space="preserve">3 straight Atlanta top-10s; elite drafter · LOSS — Hocevar P3; closest of the winner basket</t>
  </si>
  <si>
    <t xml:space="preserve">Brad Keselowski to Win</t>
  </si>
  <si>
    <t xml:space="preserve">2 Atlanta wins, 6 top-3s; CBS model top pick; RFK form · LOSS — Keselowski did not win</t>
  </si>
  <si>
    <t xml:space="preserve">Tyler Reddick to Win</t>
  </si>
  <si>
    <t xml:space="preserve">Drafting ace; Toyota gambled on race trim over qualifying · LOSS — Reddick did not win (P8 per post-race reports)</t>
  </si>
  <si>
    <t xml:space="preserve">Kyle Larson to Win (LONGSHOT)</t>
  </si>
  <si>
    <t xml:space="preserve">Mandatory longshot — best driver at his longest price; P3 start · LOSS — Larson did not win; longshot record now 0-for-4</t>
  </si>
  <si>
    <t xml:space="preserve">Best-Case P/L (basket excl.)</t>
  </si>
  <si>
    <t xml:space="preserve">Yellow = fill in results (dropdown). Blue = inputs. Black = formulas. 'Max Return' is intentionally omitted: bets 3-7 are mutually exclusive, so summing their returns would be meaningless.</t>
  </si>
  <si>
    <t xml:space="preserve">DATA SOURCES — WHERE THE FACTS COME FROM</t>
  </si>
  <si>
    <t xml:space="preserve">Root sites queried for research, odds, and results. New rows/columns appended as future tests use new sources. Discovery via web search; sites below are where facts were actually read.</t>
  </si>
  <si>
    <t xml:space="preserve">Root Site</t>
  </si>
  <si>
    <t xml:space="preserve">Type of Content Pulled</t>
  </si>
  <si>
    <t xml:space="preserve">T1 UFC</t>
  </si>
  <si>
    <t xml:space="preserve">T2 WC</t>
  </si>
  <si>
    <t xml:space="preserve">T3 MLB</t>
  </si>
  <si>
    <t xml:space="preserve">T4 NASCAR</t>
  </si>
  <si>
    <t xml:space="preserve">espn.com</t>
  </si>
  <si>
    <t xml:space="preserve">Odds boards, live scores, schedules, brackets</t>
  </si>
  <si>
    <t xml:space="preserve">✓</t>
  </si>
  <si>
    <t xml:space="preserve">Primary MLB odds board; WC scores</t>
  </si>
  <si>
    <t xml:space="preserve">ufc.com</t>
  </si>
  <si>
    <t xml:space="preserve">Official UFC fight results</t>
  </si>
  <si>
    <t xml:space="preserve">Official source used to grade Test 1</t>
  </si>
  <si>
    <t xml:space="preserve">mmaweekly.com</t>
  </si>
  <si>
    <t xml:space="preserve">Full fight results incl. early prelims</t>
  </si>
  <si>
    <t xml:space="preserve">Prelim results for Test 1 grading</t>
  </si>
  <si>
    <t xml:space="preserve">vegasinsider.com</t>
  </si>
  <si>
    <t xml:space="preserve">Sportsbook odds aggregation (BetMGM)</t>
  </si>
  <si>
    <t xml:space="preserve">WC championship futures</t>
  </si>
  <si>
    <t xml:space="preserve">covers.com</t>
  </si>
  <si>
    <t xml:space="preserve">Odds, picks, prediction-market data</t>
  </si>
  <si>
    <t xml:space="preserve">WC: Kalshi probabilities (SEE CAUTION BELOW) · NASCAR: outrights, H2H, props · WNBA: Fever-Aces picks/props (T5)</t>
  </si>
  <si>
    <t xml:space="preserve">dknetwork.draftkings.com</t>
  </si>
  <si>
    <t xml:space="preserve">DraftKings opening lines &amp; analysis</t>
  </si>
  <si>
    <t xml:space="preserve">WC semifinal openers; MLB parlay research</t>
  </si>
  <si>
    <t xml:space="preserve">sports.yahoo.com</t>
  </si>
  <si>
    <t xml:space="preserve">Brackets, schedules, lineups, reports</t>
  </si>
  <si>
    <t xml:space="preserve">WC bracket; NASCAR starting lineup/race info</t>
  </si>
  <si>
    <t xml:space="preserve">vavel.com</t>
  </si>
  <si>
    <t xml:space="preserve">Live match blogs</t>
  </si>
  <si>
    <t xml:space="preserve">Live Argentina-Switzerland score</t>
  </si>
  <si>
    <t xml:space="preserve">foxsports.com</t>
  </si>
  <si>
    <t xml:space="preserve">Odds stories, score pages</t>
  </si>
  <si>
    <t xml:space="preserve">WC title odds context</t>
  </si>
  <si>
    <t xml:space="preserve">nbcsports.com</t>
  </si>
  <si>
    <t xml:space="preserve">Match previews &amp; broadcast info</t>
  </si>
  <si>
    <t xml:space="preserve">Argentina-Switzerland preview</t>
  </si>
  <si>
    <t xml:space="preserve">wikipedia.org</t>
  </si>
  <si>
    <t xml:space="preserve">Tournament format &amp; structure</t>
  </si>
  <si>
    <t xml:space="preserve">WC knockout format/dates</t>
  </si>
  <si>
    <t xml:space="preserve">vsin.com</t>
  </si>
  <si>
    <t xml:space="preserve">Expert betting analysis &amp; picks</t>
  </si>
  <si>
    <t xml:space="preserve">MLB Sunday card; NASCAR top-5 picks &amp; longshots</t>
  </si>
  <si>
    <t xml:space="preserve">pickdawgz.com</t>
  </si>
  <si>
    <t xml:space="preserve">Game predictions with stats</t>
  </si>
  <si>
    <t xml:space="preserve">Brewers-Pirates deep dive</t>
  </si>
  <si>
    <t xml:space="preserve">mlb.com</t>
  </si>
  <si>
    <t xml:space="preserve">Official schedules &amp; probable pitchers</t>
  </si>
  <si>
    <t xml:space="preserve">Probable-pitcher confirmation</t>
  </si>
  <si>
    <t xml:space="preserve">cbssports.com</t>
  </si>
  <si>
    <t xml:space="preserve">Model-based picks &amp; odds (FanDuel)</t>
  </si>
  <si>
    <t xml:space="preserve">SportsLine model: Keselowski call, Blaney fade</t>
  </si>
  <si>
    <t xml:space="preserve">si.com</t>
  </si>
  <si>
    <t xml:space="preserve">Betting lines, picks &amp; player props (FanDuel)</t>
  </si>
  <si>
    <t xml:space="preserve">T2: France-Spain lines · T5 WNBA: all game lines &amp; props</t>
  </si>
  <si>
    <t xml:space="preserve">golfdigest.com</t>
  </si>
  <si>
    <t xml:space="preserve">Golf major picks &amp; player analysis</t>
  </si>
  <si>
    <t xml:space="preserve">T6 Open: 13-best-bets breakdown, form/course fit</t>
  </si>
  <si>
    <t xml:space="preserve">sportsbettingdime.com</t>
  </si>
  <si>
    <t xml:space="preserve">Odds tracking (DraftKings)</t>
  </si>
  <si>
    <t xml:space="preserve">T6 Open: outright board · also WC SF openers</t>
  </si>
  <si>
    <t xml:space="preserve">all.rugby</t>
  </si>
  <si>
    <t xml:space="preserve">Rugby fixtures &amp; results</t>
  </si>
  <si>
    <t xml:space="preserve">T7 Rugby: Nations Cup rounds 1-2 results, Rd 3 fixtures</t>
  </si>
  <si>
    <t xml:space="preserve">⚠ SOURCE CAUTION — KALSHI (per John, 2026-07-12): prediction-market prices can be manipulated ('market rigging'). Kalshi probabilities are used for CONTEXT/comparison only, never as a primary betting basis. Primary basis = sportsbook consensus + our own stats analysis.</t>
  </si>
  <si>
    <t xml:space="preserve">Sportsbook prices quoted within these pages: DraftKings, BetMGM, FanDuel.</t>
  </si>
  <si>
    <t xml:space="preserve">Test 1 note: the original UFC 329 card (previous session) cited DraftKings / BetMGM / CBS Sports; graded from ufc.com + mmaweekly.com.</t>
  </si>
  <si>
    <t xml:space="preserve">Sites queried but returning no usable facts (blocked/empty) are not listed.</t>
  </si>
  <si>
    <t xml:space="preserve">Test 8 · HR Derby Jul 13</t>
  </si>
  <si>
    <t xml:space="preserve">dknetwork.draftkings.com (outright odds); actionnetwork.com (format, props); vsin.com (props, picks); sports.yahoo.com (event info); mlb.com (schedule)</t>
  </si>
  <si>
    <t xml:space="preserve">covers.com (Fever-Valkyries odds); dratings.com (slate, projections); actionnetwork.com (Sparks-Lynx); fantasyalarm.com (Fever preview); espn.com (records)</t>
  </si>
  <si>
    <t xml:space="preserve">TEST 5 — WNBA SUNDAY NIGHT DOUBLEHEADER · JULY 12, 2026</t>
  </si>
  <si>
    <t xml:space="preserve">STATUS: SETTLED — 3-4 (42.9%), -$298.15 · Fever routed Aces 109-75</t>
  </si>
  <si>
    <t xml:space="preserve">Sky @ Wings 7 PM ET (ESPN) · Fever @ Aces 9 PM ET (NBC) · Source: wnba-jul12-betting-card.html · Lines: FanDuel via SI Betting / Covers, ~5 PM CT</t>
  </si>
  <si>
    <t xml:space="preserve">Budget $1,000 · 6 core bets + 1 longshot (counts toward the account longshot record). EV ≈ +$81, expected wins ≈ 3.6 of 7.</t>
  </si>
  <si>
    <t xml:space="preserve">Wings -9.5</t>
  </si>
  <si>
    <t xml:space="preserve">vs Sky · 7 PM ET</t>
  </si>
  <si>
    <t xml:space="preserve">Spread</t>
  </si>
  <si>
    <t xml:space="preserve">Sky missing Carrington + Diggins; Wings 15-8, 2nd in O-rating last 10 · RESULT: DAL 82-79 — won by 3, spread dead</t>
  </si>
  <si>
    <t xml:space="preserve">Sky @ Wings Over 177.5</t>
  </si>
  <si>
    <t xml:space="preserve">Game 1 total</t>
  </si>
  <si>
    <t xml:space="preserve">185 &amp; 188 combined in first two meetings; Sky 3rd in pace, over 8 of last 10 · RESULT: 161 combined — 16.5 under the number</t>
  </si>
  <si>
    <t xml:space="preserve">Paige Bueckers 20+ Points</t>
  </si>
  <si>
    <t xml:space="preserve">Wings G · player prop</t>
  </si>
  <si>
    <t xml:space="preserve">22+ in 6 of last 7; 20.6 PPG; Sky 10th in D-rating · RESULT: Bueckers 20 pts (6-13 FG, 7-8 FT) — cleared at the buzzer of our line</t>
  </si>
  <si>
    <t xml:space="preserve">Aces -4.5</t>
  </si>
  <si>
    <t xml:space="preserve">vs Fever · 9 PM ET</t>
  </si>
  <si>
    <t xml:space="preserve">+41 differential last 7 home w/ Wilson; rested off 48-pt blowout Sat · RESULT: Fever 109-75 — Aces lost by 34, spread dead</t>
  </si>
  <si>
    <t xml:space="preserve">A'ja Wilson Double-Double (Yes)</t>
  </si>
  <si>
    <t xml:space="preserve">Aces F · player prop</t>
  </si>
  <si>
    <t xml:space="preserve">DD in 5 straight career games vs Clark; 10.8 reb/game at home; 11 DDs (3rd in W) · RESULT: Wilson 20 pts / 12 reb — double-double cashed</t>
  </si>
  <si>
    <t xml:space="preserve">Kelsey Mitchell Over 2.5 Threes</t>
  </si>
  <si>
    <t xml:space="preserve">Fever G · player prop</t>
  </si>
  <si>
    <t xml:space="preserve">3+ threes in 6 straight, 8 of 10; 41.1% from deep; LV 12th vs opp threes · RESULT: Mitchell 3-of-8 from deep (27 pts) — cleared 2.5</t>
  </si>
  <si>
    <t xml:space="preserve">LONGSHOT: 4-Leg Parlay</t>
  </si>
  <si>
    <t xml:space="preserve">Wings -9.5 / Aces -4.5 / Bueckers 20+ / Mitchell 3+ threes</t>
  </si>
  <si>
    <t xml:space="preserve">Stacks our four highest-confidence legs · counts in longshot record · RESULT: Wings -9.5 leg dead → parlay dead (longshot MISS)</t>
  </si>
  <si>
    <t xml:space="preserve">Yellow = fill in results (dropdown). Blue = inputs. Black = formulas. Parlay odds +971 = (-115 × -108 × -159 × -121) compounded; grades as one bet.</t>
  </si>
  <si>
    <t xml:space="preserve">TEST 6 — THE 154th OPEN CHAMPIONSHIP · ROYAL BIRKDALE · JULY 16-19, 2026</t>
  </si>
  <si>
    <t xml:space="preserve">STATUS: ACTIVE — R1 COMPLETE Thu Jul 16: Suber leads −5 (65); Morikawa −3 best on card · $1,000 fully deployed</t>
  </si>
  <si>
    <t xml:space="preserve">Source: open2026-betting-card.html · Outrights locked Sun Jul 12 · Phase 2 top-10 props deployed Wed Jul 15 (reserved $400 now at risk)</t>
  </si>
  <si>
    <t xml:space="preserve">Outright basket (rows 7-12) mutually exclusive — max one cashes. Phase 2 = 5 top-10 props (rows 13-17). Full $1,000 now deployed.</t>
  </si>
  <si>
    <t xml:space="preserve">Scottie Scheffler</t>
  </si>
  <si>
    <t xml:space="preserve">Anchor — defending champ, drought discount on world No. 1</t>
  </si>
  <si>
    <t xml:space="preserve">Jon Rahm</t>
  </si>
  <si>
    <t xml:space="preserve">Two majors, near-misses all season, wind player</t>
  </si>
  <si>
    <t xml:space="preserve">Tommy Fleetwood</t>
  </si>
  <si>
    <t xml:space="preserve">Southport native — Birkdale is his home course</t>
  </si>
  <si>
    <t xml:space="preserve">Matt Fitzpatrick</t>
  </si>
  <si>
    <t xml:space="preserve">3 wins this season, English home major</t>
  </si>
  <si>
    <t xml:space="preserve">Collin Morikawa</t>
  </si>
  <si>
    <t xml:space="preserve">2021 Open champ, Sunday 61 at Travelers</t>
  </si>
  <si>
    <t xml:space="preserve">Brooks Koepka (LONGSHOT)</t>
  </si>
  <si>
    <t xml:space="preserve">5 majors, career-long price · counts in longshot record</t>
  </si>
  <si>
    <t xml:space="preserve">Scottie Scheffler Top-10</t>
  </si>
  <si>
    <t xml:space="preserve">Top-10 finish</t>
  </si>
  <si>
    <t xml:space="preserve">World #1 / +620 favorite; safest of the basket</t>
  </si>
  <si>
    <t xml:space="preserve">Tommy Fleetwood Top-10</t>
  </si>
  <si>
    <t xml:space="preserve">Southport native, home links; strong value</t>
  </si>
  <si>
    <t xml:space="preserve">Jon Rahm Top-10</t>
  </si>
  <si>
    <t xml:space="preserve">Elite wind player; value vs field</t>
  </si>
  <si>
    <t xml:space="preserve">Matt Fitzpatrick Top-10</t>
  </si>
  <si>
    <t xml:space="preserve">English; 6 straight Open cuts made</t>
  </si>
  <si>
    <t xml:space="preserve">Collin Morikawa Top-10</t>
  </si>
  <si>
    <t xml:space="preserve">2021 Open champ, elite ballstriker</t>
  </si>
  <si>
    <t xml:space="preserve">TOTALS (deployed)</t>
  </si>
  <si>
    <t xml:space="preserve">Total Staked (Phase 1)</t>
  </si>
  <si>
    <t xml:space="preserve">Basket Coverage (one wins)</t>
  </si>
  <si>
    <t xml:space="preserve">TEST 8 — MLB HOME RUN DERBY · CITIZENS BANK PARK, PHILADELPHIA · JULY 13, 2026</t>
  </si>
  <si>
    <t xml:space="preserve">STATUS: SETTLED Jul 13 — 2-5 · net -$475.00 · Walker stunned Schwarber 12-11 in the final</t>
  </si>
  <si>
    <t xml:space="preserve">8 PM ET / 7 CT on Netflix · Source: cards/hrderby-jul13-betting-card.html · Outrights: DraftKings ~9 AM CT Jul 13 · Props: Action Network / VSiN lines, -110 std price</t>
  </si>
  <si>
    <t xml:space="preserve">Bets 1, 2, 7 mutually exclusive (one winner). New format: 20 swings R1, top 4 to bracket (1v4/2v3), 15-swing semis+final, bonus swings while homering.</t>
  </si>
  <si>
    <t xml:space="preserve">Kyle Schwarber</t>
  </si>
  <si>
    <t xml:space="preserve">Anchor — MLB HR leader (32), home park, format suits him — Runner-up: 11 HRs in final, Walker homered on his last 6 swings to win 12-11 (theScore + SI agree)</t>
  </si>
  <si>
    <t xml:space="preserve">Junior Caminero</t>
  </si>
  <si>
    <t xml:space="preserve">44 HR in last year's derby, same BP pitcher — R1 12 HRs (3rd), semis: fell 6-5 to Walker (theScore + AP agree)</t>
  </si>
  <si>
    <t xml:space="preserve">Schwarber R1 Over 10.5 HRs</t>
  </si>
  <si>
    <t xml:space="preserve">Round 1 total</t>
  </si>
  <si>
    <t xml:space="preserve">20 swings + bonus rule; 11 clears — R1: Schwarber hit exactly 10, under by half a homer (theScore + AP agree)</t>
  </si>
  <si>
    <t xml:space="preserve">Total Derby HRs Over 119.5</t>
  </si>
  <si>
    <t xml:space="preserve">Event total</t>
  </si>
  <si>
    <t xml:space="preserve">Bonus-swing rule + Philly July carry — Cleared easily: 80 in R1 + 27 in semis + 23 in final ≈ 130 total (multi-source tallies)</t>
  </si>
  <si>
    <t xml:space="preserve">Ben Rice R1 Over 9.5 HRs</t>
  </si>
  <si>
    <t xml:space="preserve">Lefty pull power, 330-ft RF corner — VSiN lean — R1: Rice managed just 7 of 20, first man eliminated (theScore; AP confirms did not advance)</t>
  </si>
  <si>
    <t xml:space="preserve">Longest HR Over 484.5 ft</t>
  </si>
  <si>
    <t xml:space="preserve">Distance prop</t>
  </si>
  <si>
    <t xml:space="preserve">Contreras 490-ft R1 blast clears 484.5 — graded live mid-event (NESN/Sportsnet/Yahoo agree)</t>
  </si>
  <si>
    <t xml:space="preserve">LONGSHOT: Willson Contreras</t>
  </si>
  <si>
    <t xml:space="preserve">Longest price on board · counts in longshot record — Stole the show: 13-HR R1 + 490-ft blast, booed by 45k, out 9-8 to Schwarber on his final semifinal swing (theScore + AP)</t>
  </si>
  <si>
    <t xml:space="preserve">TEST 9 — WNBA WEDNESDAY SLATE · JULY 15, 2026</t>
  </si>
  <si>
    <t xml:space="preserve">STATUS: SETTLED — 2-5 (28.6%), -$446.85 · Valkyries spoil the party; Clark restricted to 26 min</t>
  </si>
  <si>
    <t xml:space="preserve">Source: cards/wnba-jul15-betting-card.html · Lines: DraftKings/Caesars/consensus, locked ~9 PM CT Jul 14</t>
  </si>
  <si>
    <t xml:space="preserve">3 games: Sparks@Lynx (~12 PM CT), Storm@Sky (aft), Fever vs Valkyries 7 PM CT. Clark prop = Over 22.5 points.</t>
  </si>
  <si>
    <t xml:space="preserve">Fever -3.5</t>
  </si>
  <si>
    <t xml:space="preserve">vs Valkyries · 7 PM CT</t>
  </si>
  <si>
    <t xml:space="preserve">Home, 7-game heater, Clark healthy; anchor · RESULT: Valkyries 88-75 — Fever lost outright by 13, spread dead</t>
  </si>
  <si>
    <t xml:space="preserve">Fever–Valkyries Over 169.5</t>
  </si>
  <si>
    <t xml:space="preserve">Headliner total</t>
  </si>
  <si>
    <t xml:space="preserve">Two top-8 offenses, Clark pace, soft number · RESULT: 163 combined — 6.5 under the number</t>
  </si>
  <si>
    <t xml:space="preserve">Sparks–Lynx Over 182.5</t>
  </si>
  <si>
    <t xml:space="preserve">Afternoon total</t>
  </si>
  <si>
    <t xml:space="preserve">Lynx offense + Sparks poor D &amp; fast pace · RESULT: Lynx 96-87 — 183 combined, over by half a point</t>
  </si>
  <si>
    <t xml:space="preserve">Caitlin Clark Over 22.5 points</t>
  </si>
  <si>
    <t xml:space="preserve">Home usage vs beatable Valkyries D; Clark healthy, no minutes cap · RESULT: Clark 13 pts (4-14 FG, 1-8 3PT) in 26 min on minutes restriction — well under 22.5</t>
  </si>
  <si>
    <t xml:space="preserve">Chicago Sky ML</t>
  </si>
  <si>
    <t xml:space="preserve">vs Storm · afternoon</t>
  </si>
  <si>
    <t xml:space="preserve">vs 6-19 Storm, home side of bad-vs-bad · RESULT: Sky 95-90 over Storm — ML cashed</t>
  </si>
  <si>
    <t xml:space="preserve">Lynx -12.5</t>
  </si>
  <si>
    <t xml:space="preserve">vs Sparks · afternoon</t>
  </si>
  <si>
    <t xml:space="preserve">18-6 vs 10-12; sized down, back-door risk · RESULT: Lynx won by 9 — needed 13, spread dead</t>
  </si>
  <si>
    <t xml:space="preserve">Fever -3.5 / Lynx O182.5 / Fever O169.5 / Sky ML</t>
  </si>
  <si>
    <t xml:space="preserve">Cross-game stack; counts in longshot record · RESULT: Fever -3.5 leg dead at the first hurdle → parlay dead (longshot MISS, 0-for-6)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</si>
</sst>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\$#,##0.00;&quot;($&quot;#,##0.00\);\-"/>
    <numFmt numFmtId="167" formatCode="\$#,##0.00"/>
    <numFmt numFmtId="168" formatCode="\+0;\-0"/>
    <numFmt numFmtId="169" formatCode="0"/>
    <numFmt numFmtId="170" formatCode="0.0%"/>
    <numFmt numFmtId="171" formatCode="0%"/>
    <numFmt numFmtId="172" formatCode="0.0&quot; exp. wins&quot;"/>
    <numFmt numFmtId="173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9C6500"/>
      <name val="Arial"/>
      <family val="0"/>
      <charset val="1"/>
    </font>
    <font>
      <b val="true"/>
      <sz val="10"/>
      <color rgb="FF1B7A3D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6500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808080"/>
        <bgColor rgb="FF969696"/>
      </patternFill>
    </fill>
    <fill>
      <patternFill patternType="solid">
        <fgColor rgb="FFC6EFCE"/>
        <bgColor rgb="FFE2F0D9"/>
      </patternFill>
    </fill>
    <fill>
      <patternFill patternType="solid">
        <fgColor rgb="FFFFC7CE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1B7A3D"/>
        <bgColor rgb="FF008080"/>
      </patternFill>
    </fill>
    <fill>
      <patternFill patternType="solid">
        <fgColor rgb="FFE81828"/>
        <bgColor rgb="FFC00000"/>
      </patternFill>
    </fill>
    <fill>
      <patternFill patternType="solid">
        <fgColor rgb="FFFF6B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E81828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B7A3D"/>
      <rgbColor rgb="FFB0B0B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B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M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8" min="6" style="1" width="13"/>
    <col collapsed="false" customWidth="true" hidden="false" outlineLevel="0" max="9" min="9" style="1" width="15"/>
    <col collapsed="false" customWidth="true" hidden="false" outlineLevel="0" max="10" min="10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5000</v>
      </c>
    </row>
    <row r="6" customFormat="false" ht="15" hidden="false" customHeight="true" outlineLevel="0" collapsed="false">
      <c r="A6" s="5" t="s">
        <v>4</v>
      </c>
      <c r="B6" s="7" t="n">
        <f aca="false">H25</f>
        <v>-2056.31662486205</v>
      </c>
    </row>
    <row r="7" customFormat="false" ht="15" hidden="false" customHeight="true" outlineLevel="0" collapsed="false">
      <c r="A7" s="5" t="s">
        <v>5</v>
      </c>
      <c r="B7" s="8" t="n">
        <f aca="false">B5+B6</f>
        <v>2943.68337513795</v>
      </c>
    </row>
    <row r="8" customFormat="false" ht="15" hidden="false" customHeight="true" outlineLevel="0" collapsed="false">
      <c r="A8" s="5" t="s">
        <v>6</v>
      </c>
      <c r="B8" s="9" t="n">
        <f aca="false">F25</f>
        <v>1000</v>
      </c>
    </row>
    <row r="9" customFormat="false" ht="15" hidden="false" customHeight="true" outlineLevel="0" collapsed="false">
      <c r="A9" s="5" t="s">
        <v>7</v>
      </c>
      <c r="B9" s="8" t="n">
        <f aca="false">B7-B8</f>
        <v>1943.68337513795</v>
      </c>
    </row>
    <row r="10" customFormat="false" ht="15" hidden="false" customHeight="true" outlineLevel="0" collapsed="false">
      <c r="A10" s="5" t="s">
        <v>8</v>
      </c>
      <c r="B10" s="10" t="str">
        <f aca="false">COUNTIF(D16:D24,"ACTIVE")&amp;" of 4 max"</f>
        <v>1 of 4 max</v>
      </c>
    </row>
    <row r="11" customFormat="false" ht="15" hidden="false" customHeight="true" outlineLevel="0" collapsed="false">
      <c r="A11" s="5" t="s">
        <v>9</v>
      </c>
      <c r="B11" s="11" t="s">
        <v>10</v>
      </c>
    </row>
    <row r="14" customFormat="false" ht="15" hidden="false" customHeight="true" outlineLevel="0" collapsed="false">
      <c r="A14" s="4" t="s">
        <v>11</v>
      </c>
      <c r="K14" s="1"/>
      <c r="L14" s="1"/>
      <c r="M14" s="1"/>
    </row>
    <row r="15" customFormat="false" ht="25.5" hidden="false" customHeight="true" outlineLevel="0" collapsed="false">
      <c r="A15" s="12" t="s">
        <v>12</v>
      </c>
      <c r="B15" s="12" t="s">
        <v>13</v>
      </c>
      <c r="C15" s="12" t="s">
        <v>14</v>
      </c>
      <c r="D15" s="12" t="s">
        <v>15</v>
      </c>
      <c r="E15" s="12" t="s">
        <v>16</v>
      </c>
      <c r="F15" s="12" t="s">
        <v>17</v>
      </c>
      <c r="G15" s="12" t="s">
        <v>18</v>
      </c>
      <c r="H15" s="12" t="s">
        <v>19</v>
      </c>
      <c r="I15" s="13"/>
      <c r="J15" s="13"/>
      <c r="K15" s="1"/>
      <c r="L15" s="1"/>
      <c r="M15" s="1"/>
    </row>
    <row r="16" customFormat="false" ht="15" hidden="false" customHeight="true" outlineLevel="0" collapsed="false">
      <c r="A16" s="14" t="n">
        <v>9</v>
      </c>
      <c r="B16" s="15" t="s">
        <v>20</v>
      </c>
      <c r="C16" s="14" t="s">
        <v>21</v>
      </c>
      <c r="D16" s="16" t="s">
        <v>22</v>
      </c>
      <c r="E16" s="17" t="n">
        <f aca="false">SUM('WNBA Jul 15'!F7:F13)</f>
        <v>1000</v>
      </c>
      <c r="F16" s="17" t="n">
        <f aca="false">SUMIF('WNBA Jul 15'!I7:I13,"Pending",'WNBA Jul 15'!F7:F13)</f>
        <v>0</v>
      </c>
      <c r="G16" s="17" t="n">
        <f aca="false">SUM('WNBA Jul 15'!J7:J13)</f>
        <v>553.146853146853</v>
      </c>
      <c r="H16" s="17" t="n">
        <f aca="false">SUM('WNBA Jul 15'!K7:K13)</f>
        <v>-446.853146853147</v>
      </c>
      <c r="I16" s="18"/>
      <c r="J16" s="19"/>
      <c r="K16" s="1"/>
      <c r="L16" s="1"/>
      <c r="M16" s="1"/>
    </row>
    <row r="17" customFormat="false" ht="15" hidden="false" customHeight="true" outlineLevel="0" collapsed="false">
      <c r="A17" s="14" t="n">
        <v>2</v>
      </c>
      <c r="B17" s="15" t="s">
        <v>23</v>
      </c>
      <c r="C17" s="14" t="s">
        <v>24</v>
      </c>
      <c r="D17" s="16" t="s">
        <v>22</v>
      </c>
      <c r="E17" s="17" t="n">
        <f aca="false">SUM('World Cup 2026'!F7:F13)</f>
        <v>1000</v>
      </c>
      <c r="F17" s="17" t="n">
        <f aca="false">SUMIF('World Cup 2026'!I7:I13,"Pending",'World Cup 2026'!F7:F13)</f>
        <v>0</v>
      </c>
      <c r="G17" s="17" t="n">
        <f aca="false">SUM('World Cup 2026'!J7:J13)</f>
        <v>630.860655737705</v>
      </c>
      <c r="H17" s="17" t="n">
        <f aca="false">SUM('World Cup 2026'!K7:K13)</f>
        <v>-369.139344262295</v>
      </c>
      <c r="I17" s="18"/>
      <c r="J17" s="19"/>
      <c r="K17" s="1"/>
      <c r="L17" s="1"/>
      <c r="M17" s="1"/>
    </row>
    <row r="18" customFormat="false" ht="15" hidden="false" customHeight="true" outlineLevel="0" collapsed="false">
      <c r="A18" s="20" t="n">
        <v>6</v>
      </c>
      <c r="B18" s="21" t="s">
        <v>25</v>
      </c>
      <c r="C18" s="20" t="s">
        <v>26</v>
      </c>
      <c r="D18" s="22" t="s">
        <v>27</v>
      </c>
      <c r="E18" s="23" t="n">
        <f aca="false">SUM('The Open'!F7:F17)</f>
        <v>1000</v>
      </c>
      <c r="F18" s="23" t="n">
        <f aca="false">SUMIF('The Open'!I7:I17,"Pending",'The Open'!F7:F17)</f>
        <v>1000</v>
      </c>
      <c r="G18" s="23" t="n">
        <f aca="false">SUM('The Open'!J7:J17)</f>
        <v>0</v>
      </c>
      <c r="H18" s="23" t="n">
        <f aca="false">SUM('The Open'!K7:K17)</f>
        <v>0</v>
      </c>
      <c r="I18" s="18"/>
      <c r="J18" s="19"/>
      <c r="K18" s="1"/>
      <c r="L18" s="1"/>
      <c r="M18" s="1"/>
    </row>
    <row r="19" customFormat="false" ht="15" hidden="false" customHeight="true" outlineLevel="0" collapsed="false">
      <c r="A19" s="24" t="n">
        <v>7</v>
      </c>
      <c r="B19" s="25" t="s">
        <v>28</v>
      </c>
      <c r="C19" s="24" t="s">
        <v>29</v>
      </c>
      <c r="D19" s="26" t="s">
        <v>30</v>
      </c>
      <c r="E19" s="27" t="n">
        <v>0</v>
      </c>
      <c r="F19" s="27" t="n">
        <v>0</v>
      </c>
      <c r="G19" s="27" t="n">
        <v>0</v>
      </c>
      <c r="H19" s="27" t="n">
        <v>0</v>
      </c>
      <c r="I19" s="18"/>
      <c r="J19" s="19"/>
      <c r="K19" s="1"/>
      <c r="L19" s="1"/>
      <c r="M19" s="1"/>
    </row>
    <row r="20" customFormat="false" ht="15" hidden="false" customHeight="true" outlineLevel="0" collapsed="false">
      <c r="A20" s="14" t="n">
        <v>8</v>
      </c>
      <c r="B20" s="15" t="s">
        <v>31</v>
      </c>
      <c r="C20" s="14" t="s">
        <v>32</v>
      </c>
      <c r="D20" s="16" t="s">
        <v>22</v>
      </c>
      <c r="E20" s="17" t="n">
        <f aca="false">SUM('HR Derby'!F7:F13)</f>
        <v>1000</v>
      </c>
      <c r="F20" s="17" t="n">
        <f aca="false">SUMIF('HR Derby'!I7:I13,"Pending",'HR Derby'!F7:F13)</f>
        <v>0</v>
      </c>
      <c r="G20" s="17" t="n">
        <f aca="false">SUM('HR Derby'!J7:J13)</f>
        <v>525</v>
      </c>
      <c r="H20" s="17" t="n">
        <f aca="false">SUM('HR Derby'!K7:K13)</f>
        <v>-475</v>
      </c>
      <c r="I20" s="18"/>
      <c r="J20" s="19"/>
      <c r="K20" s="1"/>
      <c r="L20" s="1"/>
      <c r="M20" s="1"/>
    </row>
    <row r="21" customFormat="false" ht="15" hidden="false" customHeight="true" outlineLevel="0" collapsed="false">
      <c r="A21" s="14" t="n">
        <v>4</v>
      </c>
      <c r="B21" s="15" t="s">
        <v>33</v>
      </c>
      <c r="C21" s="14" t="s">
        <v>34</v>
      </c>
      <c r="D21" s="16" t="s">
        <v>22</v>
      </c>
      <c r="E21" s="17" t="n">
        <f aca="false">SUM('NASCAR Jul 12'!F7:F13)</f>
        <v>1000</v>
      </c>
      <c r="F21" s="17" t="n">
        <f aca="false">SUMIF('NASCAR Jul 12'!I7:I13,"Pending",'NASCAR Jul 12'!F7:F13)</f>
        <v>0</v>
      </c>
      <c r="G21" s="17" t="n">
        <f aca="false">SUM('NASCAR Jul 12'!J7:J13)</f>
        <v>565.486725663717</v>
      </c>
      <c r="H21" s="17" t="n">
        <f aca="false">SUM('NASCAR Jul 12'!K7:K13)</f>
        <v>-434.513274336283</v>
      </c>
      <c r="I21" s="18"/>
      <c r="J21" s="19"/>
      <c r="K21" s="1"/>
      <c r="L21" s="1"/>
      <c r="M21" s="1"/>
    </row>
    <row r="22" customFormat="false" ht="15" hidden="false" customHeight="true" outlineLevel="0" collapsed="false">
      <c r="A22" s="14" t="n">
        <v>5</v>
      </c>
      <c r="B22" s="15" t="s">
        <v>35</v>
      </c>
      <c r="C22" s="14" t="s">
        <v>34</v>
      </c>
      <c r="D22" s="16" t="s">
        <v>22</v>
      </c>
      <c r="E22" s="17" t="n">
        <f aca="false">SUM('WNBA Jul 12'!F7:F13)</f>
        <v>1000</v>
      </c>
      <c r="F22" s="17" t="n">
        <f aca="false">SUMIF('WNBA Jul 12'!I7:I13,"Pending",'WNBA Jul 12'!F7:F13)</f>
        <v>0</v>
      </c>
      <c r="G22" s="17" t="n">
        <f aca="false">SUM('WNBA Jul 12'!J7:J13)</f>
        <v>701.846509693851</v>
      </c>
      <c r="H22" s="17" t="n">
        <f aca="false">SUM('WNBA Jul 12'!K7:K13)</f>
        <v>-298.153490306149</v>
      </c>
      <c r="I22" s="18"/>
      <c r="J22" s="19"/>
      <c r="K22" s="1"/>
      <c r="L22" s="1"/>
      <c r="M22" s="1"/>
    </row>
    <row r="23" customFormat="false" ht="15" hidden="false" customHeight="true" outlineLevel="0" collapsed="false">
      <c r="A23" s="14" t="n">
        <v>3</v>
      </c>
      <c r="B23" s="15" t="s">
        <v>36</v>
      </c>
      <c r="C23" s="14" t="s">
        <v>34</v>
      </c>
      <c r="D23" s="16" t="s">
        <v>22</v>
      </c>
      <c r="E23" s="17" t="n">
        <f aca="false">SUM('MLB Jul 12'!F7:F14)</f>
        <v>1000</v>
      </c>
      <c r="F23" s="17" t="n">
        <f aca="false">SUMIF('MLB Jul 12'!I7:I14,"Pending",'MLB Jul 12'!F7:F14)</f>
        <v>0</v>
      </c>
      <c r="G23" s="17" t="n">
        <f aca="false">SUM('MLB Jul 12'!J7:J14)</f>
        <v>802.232258064516</v>
      </c>
      <c r="H23" s="17" t="n">
        <f aca="false">SUM('MLB Jul 12'!K7:K14)</f>
        <v>-197.767741935484</v>
      </c>
      <c r="I23" s="28"/>
      <c r="J23" s="28"/>
      <c r="K23" s="1"/>
      <c r="L23" s="1"/>
      <c r="M23" s="1"/>
    </row>
    <row r="24" customFormat="false" ht="15" hidden="false" customHeight="true" outlineLevel="0" collapsed="false">
      <c r="A24" s="14" t="n">
        <v>1</v>
      </c>
      <c r="B24" s="15" t="s">
        <v>37</v>
      </c>
      <c r="C24" s="14" t="s">
        <v>38</v>
      </c>
      <c r="D24" s="16" t="s">
        <v>22</v>
      </c>
      <c r="E24" s="17" t="n">
        <f aca="false">SUM('UFC 329'!F7:F15)</f>
        <v>1050</v>
      </c>
      <c r="F24" s="17" t="n">
        <f aca="false">SUMIF('UFC 329'!I7:I15,"Pending",'UFC 329'!F7:F15)</f>
        <v>0</v>
      </c>
      <c r="G24" s="17" t="n">
        <f aca="false">SUM('UFC 329'!J7:J15)</f>
        <v>1215.1103728313</v>
      </c>
      <c r="H24" s="17" t="n">
        <f aca="false">SUM('UFC 329'!K7:K15)</f>
        <v>165.110372831303</v>
      </c>
      <c r="K24" s="1"/>
      <c r="L24" s="1"/>
      <c r="M24" s="1"/>
    </row>
    <row r="25" customFormat="false" ht="15" hidden="false" customHeight="true" outlineLevel="0" collapsed="false">
      <c r="A25" s="4"/>
      <c r="B25" s="4" t="s">
        <v>39</v>
      </c>
      <c r="E25" s="8" t="n">
        <f aca="false">SUM(E16:E24)</f>
        <v>8050</v>
      </c>
      <c r="F25" s="8" t="n">
        <f aca="false">SUM(F16:F24)</f>
        <v>1000</v>
      </c>
      <c r="G25" s="8" t="n">
        <f aca="false">SUM(G16:G24)</f>
        <v>4993.68337513795</v>
      </c>
      <c r="H25" s="8" t="n">
        <f aca="false">SUM(H16:H24)</f>
        <v>-2056.31662486205</v>
      </c>
      <c r="K25" s="1"/>
      <c r="L25" s="1"/>
      <c r="M25" s="1"/>
    </row>
    <row r="26" customFormat="false" ht="15" hidden="false" customHeight="true" outlineLevel="0" collapsed="false">
      <c r="A26" s="29"/>
      <c r="B26" s="13"/>
      <c r="C26" s="13"/>
      <c r="D26" s="13"/>
      <c r="E26" s="13"/>
      <c r="K26" s="1"/>
      <c r="L26" s="1"/>
      <c r="M26" s="1"/>
    </row>
    <row r="27" customFormat="false" ht="15" hidden="false" customHeight="true" outlineLevel="0" collapsed="false">
      <c r="A27" s="29" t="s">
        <v>40</v>
      </c>
      <c r="B27" s="13"/>
      <c r="C27" s="13"/>
      <c r="D27" s="30"/>
      <c r="E27" s="13"/>
      <c r="K27" s="1"/>
      <c r="L27" s="1"/>
      <c r="M27" s="1"/>
    </row>
    <row r="28" customFormat="false" ht="15" hidden="false" customHeight="true" outlineLevel="0" collapsed="false">
      <c r="A28" s="12" t="s">
        <v>41</v>
      </c>
      <c r="B28" s="12" t="s">
        <v>42</v>
      </c>
      <c r="C28" s="12" t="s">
        <v>43</v>
      </c>
      <c r="D28" s="31" t="s">
        <v>44</v>
      </c>
      <c r="E28" s="12" t="s">
        <v>15</v>
      </c>
      <c r="K28" s="1"/>
      <c r="L28" s="1"/>
      <c r="M28" s="1"/>
    </row>
    <row r="29" customFormat="false" ht="15" hidden="false" customHeight="true" outlineLevel="0" collapsed="false">
      <c r="A29" s="32" t="s">
        <v>45</v>
      </c>
      <c r="B29" s="32" t="s">
        <v>46</v>
      </c>
      <c r="C29" s="33" t="s">
        <v>47</v>
      </c>
      <c r="D29" s="34" t="n">
        <v>0</v>
      </c>
      <c r="E29" s="10" t="s">
        <v>48</v>
      </c>
      <c r="K29" s="1"/>
      <c r="L29" s="1"/>
      <c r="M29" s="1"/>
    </row>
    <row r="30" customFormat="false" ht="15" hidden="false" customHeight="true" outlineLevel="0" collapsed="false">
      <c r="A30" s="32" t="s">
        <v>49</v>
      </c>
      <c r="B30" s="32" t="s">
        <v>50</v>
      </c>
      <c r="C30" s="33" t="s">
        <v>51</v>
      </c>
      <c r="D30" s="34" t="n">
        <v>50</v>
      </c>
      <c r="E30" s="10" t="str">
        <f aca="false">IF('MLB Jul 12'!I14="Win","HIT",IF('MLB Jul 12'!I14="Loss","MISS","Pending"))</f>
        <v>MISS</v>
      </c>
      <c r="K30" s="1"/>
      <c r="L30" s="1"/>
      <c r="M30" s="1"/>
    </row>
    <row r="31" customFormat="false" ht="15" hidden="false" customHeight="true" outlineLevel="0" collapsed="false">
      <c r="A31" s="32" t="s">
        <v>52</v>
      </c>
      <c r="B31" s="32" t="s">
        <v>53</v>
      </c>
      <c r="C31" s="33" t="s">
        <v>54</v>
      </c>
      <c r="D31" s="34" t="n">
        <v>40</v>
      </c>
      <c r="E31" s="10" t="str">
        <f aca="false">IF('NASCAR Jul 12'!I13="Win","HIT",IF('NASCAR Jul 12'!I13="Loss","MISS","Pending"))</f>
        <v>MISS</v>
      </c>
      <c r="K31" s="1"/>
      <c r="L31" s="1"/>
      <c r="M31" s="1"/>
    </row>
    <row r="32" customFormat="false" ht="15" hidden="false" customHeight="true" outlineLevel="0" collapsed="false">
      <c r="A32" s="32" t="s">
        <v>55</v>
      </c>
      <c r="B32" s="32" t="s">
        <v>56</v>
      </c>
      <c r="C32" s="33" t="s">
        <v>57</v>
      </c>
      <c r="D32" s="34" t="n">
        <v>100</v>
      </c>
      <c r="E32" s="10" t="str">
        <f aca="false">IF('WNBA Jul 12'!I13="Win","HIT",IF('WNBA Jul 12'!I13="Loss","MISS","Pending"))</f>
        <v>MISS</v>
      </c>
      <c r="K32" s="1"/>
      <c r="L32" s="1"/>
      <c r="M32" s="1"/>
    </row>
    <row r="33" customFormat="false" ht="15" hidden="false" customHeight="true" outlineLevel="0" collapsed="false">
      <c r="A33" s="32" t="s">
        <v>58</v>
      </c>
      <c r="B33" s="32" t="s">
        <v>59</v>
      </c>
      <c r="C33" s="33" t="s">
        <v>60</v>
      </c>
      <c r="D33" s="34" t="n">
        <v>50</v>
      </c>
      <c r="E33" s="10" t="str">
        <f aca="false">IF('The Open'!I12="Win","HIT",IF('The Open'!I12="Loss","MISS","Pending"))</f>
        <v>Pending</v>
      </c>
      <c r="K33" s="1"/>
      <c r="L33" s="1"/>
      <c r="M33" s="1"/>
    </row>
    <row r="34" customFormat="false" ht="15" hidden="false" customHeight="true" outlineLevel="0" collapsed="false">
      <c r="A34" s="32" t="s">
        <v>61</v>
      </c>
      <c r="B34" s="32" t="s">
        <v>62</v>
      </c>
      <c r="C34" s="33" t="s">
        <v>63</v>
      </c>
      <c r="D34" s="34" t="n">
        <v>0</v>
      </c>
      <c r="E34" s="10" t="s">
        <v>64</v>
      </c>
      <c r="K34" s="1"/>
      <c r="L34" s="1"/>
      <c r="M34" s="1"/>
    </row>
    <row r="35" customFormat="false" ht="15" hidden="false" customHeight="true" outlineLevel="0" collapsed="false">
      <c r="A35" s="32" t="s">
        <v>65</v>
      </c>
      <c r="B35" s="32" t="s">
        <v>66</v>
      </c>
      <c r="C35" s="33" t="s">
        <v>67</v>
      </c>
      <c r="D35" s="34" t="n">
        <v>75</v>
      </c>
      <c r="E35" s="10" t="str">
        <f aca="false">IF('HR Derby'!I13="Win","HIT",IF('HR Derby'!I13="Loss","MISS","Pending"))</f>
        <v>MISS</v>
      </c>
      <c r="K35" s="1"/>
      <c r="L35" s="1"/>
      <c r="M35" s="1"/>
    </row>
    <row r="36" customFormat="false" ht="15" hidden="false" customHeight="true" outlineLevel="0" collapsed="false">
      <c r="A36" s="32" t="s">
        <v>68</v>
      </c>
      <c r="B36" s="32" t="s">
        <v>56</v>
      </c>
      <c r="C36" s="33" t="s">
        <v>69</v>
      </c>
      <c r="D36" s="34" t="n">
        <v>75</v>
      </c>
      <c r="E36" s="10" t="str">
        <f aca="false">IF('WNBA Jul 15'!I13="Win","HIT",IF('WNBA Jul 15'!I13="Loss","MISS","Pending"))</f>
        <v>MISS</v>
      </c>
      <c r="K36" s="1"/>
      <c r="L36" s="1"/>
      <c r="M36" s="1"/>
    </row>
    <row r="37" customFormat="false" ht="15" hidden="false" customHeight="true" outlineLevel="0" collapsed="false">
      <c r="A37" s="4" t="s">
        <v>70</v>
      </c>
      <c r="E37" s="10" t="str">
        <f aca="false">IF(COUNTIF(E29:E36,"HIT")+COUNTIF(E29:E36,"MISS")=0,"—",COUNTIF(E29:E36,"HIT")&amp;"-for-"&amp;(COUNTIF(E29:E36,"HIT")+COUNTIF(E29:E36,"MISS"))&amp;" ("&amp;TEXT(COUNTIF(E29:E36,"HIT")/(COUNTIF(E29:E36,"HIT")+COUNTIF(E29:E36,"MISS")),"0%")&amp;")")</f>
        <v>0-for-6 (0%)</v>
      </c>
      <c r="K37" s="1"/>
      <c r="L37" s="1"/>
      <c r="M37" s="1"/>
    </row>
    <row r="38" customFormat="false" ht="15" hidden="false" customHeight="true" outlineLevel="0" collapsed="false">
      <c r="A38" s="3" t="s">
        <v>71</v>
      </c>
      <c r="K38" s="1"/>
      <c r="L38" s="1"/>
      <c r="M38" s="1"/>
    </row>
    <row r="39" customFormat="false" ht="15" hidden="false" customHeight="true" outlineLevel="0" collapsed="false">
      <c r="K39" s="1"/>
      <c r="L39" s="1"/>
      <c r="M39" s="1"/>
    </row>
    <row r="40" customFormat="false" ht="15" hidden="false" customHeight="true" outlineLevel="0" collapsed="false">
      <c r="K40" s="1"/>
      <c r="L40" s="1"/>
      <c r="M40" s="1"/>
    </row>
    <row r="41" customFormat="false" ht="15" hidden="false" customHeight="true" outlineLevel="0" collapsed="false">
      <c r="K41" s="1"/>
      <c r="L41" s="1"/>
      <c r="M41" s="1"/>
    </row>
  </sheetData>
  <conditionalFormatting sqref="H16:H23">
    <cfRule type="expression" priority="2" aboveAverage="0" equalAverage="0" bottom="0" percent="0" rank="0" text="" dxfId="0">
      <formula>AND(ISNUMBER(H16),H16&gt;0)</formula>
    </cfRule>
    <cfRule type="expression" priority="3" aboveAverage="0" equalAverage="0" bottom="0" percent="0" rank="0" text="" dxfId="1">
      <formula>AND(ISNUMBER(H16),H16&lt;0)</formula>
    </cfRule>
  </conditionalFormatting>
  <conditionalFormatting sqref="I16:I22">
    <cfRule type="expression" priority="4" aboveAverage="0" equalAverage="0" bottom="0" percent="0" rank="0" text="" dxfId="0">
      <formula>AND(ISNUMBER(I16),I16&gt;5000)</formula>
    </cfRule>
    <cfRule type="expression" priority="5" aboveAverage="0" equalAverage="0" bottom="0" percent="0" rank="0" text="" dxfId="1">
      <formula>AND(ISNUMBER(I16),I16&lt;5000)</formula>
    </cfRule>
  </conditionalFormatting>
  <conditionalFormatting sqref="B6">
    <cfRule type="expression" priority="6" aboveAverage="0" equalAverage="0" bottom="0" percent="0" rank="0" text="" dxfId="0">
      <formula>AND(ISNUMBER(B6),B6&gt;0)</formula>
    </cfRule>
    <cfRule type="expression" priority="7" aboveAverage="0" equalAverage="0" bottom="0" percent="0" rank="0" text="" dxfId="1">
      <formula>AND(ISNUMBER(B6),B6&lt;0)</formula>
    </cfRule>
  </conditionalFormatting>
  <conditionalFormatting sqref="B7">
    <cfRule type="expression" priority="8" aboveAverage="0" equalAverage="0" bottom="0" percent="0" rank="0" text="" dxfId="0">
      <formula>AND(ISNUMBER(B7),B7&gt;5000)</formula>
    </cfRule>
    <cfRule type="expression" priority="9" aboveAverage="0" equalAverage="0" bottom="0" percent="0" rank="0" text="" dxfId="1">
      <formula>AND(ISNUMBER(B7),B7&lt;5000)</formula>
    </cfRule>
  </conditionalFormatting>
  <conditionalFormatting sqref="H16:H24">
    <cfRule type="expression" priority="10" aboveAverage="0" equalAverage="0" bottom="0" percent="0" rank="0" text="" dxfId="0">
      <formula>AND(ISNUMBER(H16),H16&gt;0)</formula>
    </cfRule>
    <cfRule type="expression" priority="11" aboveAverage="0" equalAverage="0" bottom="0" percent="0" rank="0" text="" dxfId="1">
      <formula>AND(ISNUMBER(H16),H16&lt;0)</formula>
    </cfRule>
  </conditionalFormatting>
  <conditionalFormatting sqref="H16:H25">
    <cfRule type="expression" priority="12" aboveAverage="0" equalAverage="0" bottom="0" percent="0" rank="0" text="" dxfId="0">
      <formula>AND(ISNUMBER(H16),H16&gt;0)</formula>
    </cfRule>
    <cfRule type="expression" priority="13" aboveAverage="0" equalAverage="0" bottom="0" percent="0" rank="0" text="" dxfId="1">
      <formula>AND(ISNUMBER(H16),H16&lt;0)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40"/>
  </cols>
  <sheetData>
    <row r="1" customFormat="false" ht="15.75" hidden="false" customHeight="true" outlineLevel="0" collapsed="false">
      <c r="A1" s="35" t="s">
        <v>72</v>
      </c>
      <c r="H1" s="36" t="s">
        <v>73</v>
      </c>
    </row>
    <row r="2" customFormat="false" ht="15" hidden="false" customHeight="true" outlineLevel="0" collapsed="false">
      <c r="A2" s="3" t="s">
        <v>74</v>
      </c>
    </row>
    <row r="3" customFormat="false" ht="15" hidden="false" customHeight="true" outlineLevel="0" collapsed="false">
      <c r="A3" s="3" t="s">
        <v>75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78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86</v>
      </c>
    </row>
    <row r="7" customFormat="false" ht="15" hidden="false" customHeight="true" outlineLevel="0" collapsed="false">
      <c r="A7" s="33" t="n">
        <v>1</v>
      </c>
      <c r="B7" s="37" t="s">
        <v>87</v>
      </c>
      <c r="C7" s="38" t="s">
        <v>88</v>
      </c>
      <c r="D7" s="33" t="s">
        <v>89</v>
      </c>
      <c r="E7" s="39" t="n">
        <v>-265</v>
      </c>
      <c r="F7" s="40" t="n">
        <v>265</v>
      </c>
      <c r="G7" s="41" t="n">
        <f aca="false">IF(E7&gt;0,F7*E7/100,F7*100/ABS(E7))</f>
        <v>100</v>
      </c>
      <c r="H7" s="41" t="n">
        <f aca="false">F7+G7</f>
        <v>365</v>
      </c>
      <c r="I7" s="42" t="s">
        <v>90</v>
      </c>
      <c r="J7" s="41" t="n">
        <f aca="false">IF(I7="Win",F7+G7,IF(I7="Push",F7,IF(I7="Loss",0,0)))</f>
        <v>365</v>
      </c>
      <c r="K7" s="43" t="n">
        <f aca="false">IF(I7="Pending",0,J7-F7)</f>
        <v>100</v>
      </c>
      <c r="L7" s="44" t="s">
        <v>91</v>
      </c>
    </row>
    <row r="8" customFormat="false" ht="15" hidden="false" customHeight="true" outlineLevel="0" collapsed="false">
      <c r="A8" s="33" t="n">
        <v>2</v>
      </c>
      <c r="B8" s="37" t="s">
        <v>92</v>
      </c>
      <c r="C8" s="38" t="s">
        <v>93</v>
      </c>
      <c r="D8" s="33" t="s">
        <v>94</v>
      </c>
      <c r="E8" s="39" t="n">
        <v>-140</v>
      </c>
      <c r="F8" s="40" t="n">
        <v>200</v>
      </c>
      <c r="G8" s="41" t="n">
        <f aca="false">IF(E8&gt;0,F8*E8/100,F8*100/ABS(E8))</f>
        <v>142.857142857143</v>
      </c>
      <c r="H8" s="41" t="n">
        <f aca="false">F8+G8</f>
        <v>342.857142857143</v>
      </c>
      <c r="I8" s="42" t="s">
        <v>90</v>
      </c>
      <c r="J8" s="41" t="n">
        <f aca="false">IF(I8="Win",F8+G8,IF(I8="Push",F8,IF(I8="Loss",0,0)))</f>
        <v>342.857142857143</v>
      </c>
      <c r="K8" s="43" t="n">
        <f aca="false">IF(I8="Pending",0,J8-F8)</f>
        <v>142.857142857143</v>
      </c>
      <c r="L8" s="44" t="s">
        <v>95</v>
      </c>
    </row>
    <row r="9" customFormat="false" ht="15" hidden="false" customHeight="true" outlineLevel="0" collapsed="false">
      <c r="A9" s="33" t="n">
        <v>3</v>
      </c>
      <c r="B9" s="37" t="s">
        <v>96</v>
      </c>
      <c r="C9" s="38" t="s">
        <v>97</v>
      </c>
      <c r="D9" s="33" t="s">
        <v>89</v>
      </c>
      <c r="E9" s="39" t="n">
        <v>-148</v>
      </c>
      <c r="F9" s="40" t="n">
        <v>148</v>
      </c>
      <c r="G9" s="41" t="n">
        <f aca="false">IF(E9&gt;0,F9*E9/100,F9*100/ABS(E9))</f>
        <v>100</v>
      </c>
      <c r="H9" s="41" t="n">
        <f aca="false">F9+G9</f>
        <v>248</v>
      </c>
      <c r="I9" s="45" t="s">
        <v>98</v>
      </c>
      <c r="J9" s="41" t="n">
        <f aca="false">IF(I9="Win",F9+G9,IF(I9="Push",F9,IF(I9="Loss",0,0)))</f>
        <v>0</v>
      </c>
      <c r="K9" s="43" t="n">
        <f aca="false">IF(I9="Pending",0,J9-F9)</f>
        <v>-148</v>
      </c>
      <c r="L9" s="44" t="s">
        <v>99</v>
      </c>
    </row>
    <row r="10" customFormat="false" ht="15" hidden="false" customHeight="true" outlineLevel="0" collapsed="false">
      <c r="A10" s="33" t="n">
        <v>4</v>
      </c>
      <c r="B10" s="37" t="s">
        <v>100</v>
      </c>
      <c r="C10" s="38" t="s">
        <v>101</v>
      </c>
      <c r="D10" s="33" t="s">
        <v>89</v>
      </c>
      <c r="E10" s="39" t="n">
        <v>114</v>
      </c>
      <c r="F10" s="40" t="n">
        <v>100</v>
      </c>
      <c r="G10" s="41" t="n">
        <f aca="false">IF(E10&gt;0,F10*E10/100,F10*100/ABS(E10))</f>
        <v>114</v>
      </c>
      <c r="H10" s="41" t="n">
        <f aca="false">F10+G10</f>
        <v>214</v>
      </c>
      <c r="I10" s="42" t="s">
        <v>90</v>
      </c>
      <c r="J10" s="41" t="n">
        <f aca="false">IF(I10="Win",F10+G10,IF(I10="Push",F10,IF(I10="Loss",0,0)))</f>
        <v>214</v>
      </c>
      <c r="K10" s="43" t="n">
        <f aca="false">IF(I10="Pending",0,J10-F10)</f>
        <v>114</v>
      </c>
      <c r="L10" s="44" t="s">
        <v>102</v>
      </c>
    </row>
    <row r="11" customFormat="false" ht="15" hidden="false" customHeight="true" outlineLevel="0" collapsed="false">
      <c r="A11" s="33" t="n">
        <v>5</v>
      </c>
      <c r="B11" s="37" t="s">
        <v>103</v>
      </c>
      <c r="C11" s="38" t="s">
        <v>104</v>
      </c>
      <c r="D11" s="33" t="s">
        <v>89</v>
      </c>
      <c r="E11" s="39" t="n">
        <v>-218</v>
      </c>
      <c r="F11" s="40" t="n">
        <v>100</v>
      </c>
      <c r="G11" s="41" t="n">
        <f aca="false">IF(E11&gt;0,F11*E11/100,F11*100/ABS(E11))</f>
        <v>45.8715596330275</v>
      </c>
      <c r="H11" s="41" t="n">
        <f aca="false">F11+G11</f>
        <v>145.871559633028</v>
      </c>
      <c r="I11" s="45" t="s">
        <v>98</v>
      </c>
      <c r="J11" s="41" t="n">
        <f aca="false">IF(I11="Win",F11+G11,IF(I11="Push",F11,IF(I11="Loss",0,0)))</f>
        <v>0</v>
      </c>
      <c r="K11" s="43" t="n">
        <f aca="false">IF(I11="Pending",0,J11-F11)</f>
        <v>-100</v>
      </c>
      <c r="L11" s="44" t="s">
        <v>105</v>
      </c>
    </row>
    <row r="12" customFormat="false" ht="15" hidden="false" customHeight="true" outlineLevel="0" collapsed="false">
      <c r="A12" s="33" t="n">
        <v>6</v>
      </c>
      <c r="B12" s="37" t="s">
        <v>106</v>
      </c>
      <c r="C12" s="38" t="s">
        <v>107</v>
      </c>
      <c r="D12" s="33" t="s">
        <v>89</v>
      </c>
      <c r="E12" s="39" t="n">
        <v>-125</v>
      </c>
      <c r="F12" s="40" t="n">
        <v>75</v>
      </c>
      <c r="G12" s="41" t="n">
        <f aca="false">IF(E12&gt;0,F12*E12/100,F12*100/ABS(E12))</f>
        <v>60</v>
      </c>
      <c r="H12" s="41" t="n">
        <f aca="false">F12+G12</f>
        <v>135</v>
      </c>
      <c r="I12" s="42" t="s">
        <v>90</v>
      </c>
      <c r="J12" s="41" t="n">
        <f aca="false">IF(I12="Win",F12+G12,IF(I12="Push",F12,IF(I12="Loss",0,0)))</f>
        <v>135</v>
      </c>
      <c r="K12" s="43" t="n">
        <f aca="false">IF(I12="Pending",0,J12-F12)</f>
        <v>60</v>
      </c>
      <c r="L12" s="44" t="s">
        <v>108</v>
      </c>
    </row>
    <row r="13" customFormat="false" ht="15" hidden="false" customHeight="true" outlineLevel="0" collapsed="false">
      <c r="A13" s="33" t="n">
        <v>7</v>
      </c>
      <c r="B13" s="37" t="s">
        <v>109</v>
      </c>
      <c r="C13" s="38" t="s">
        <v>110</v>
      </c>
      <c r="D13" s="33" t="s">
        <v>89</v>
      </c>
      <c r="E13" s="39" t="n">
        <v>-225</v>
      </c>
      <c r="F13" s="40" t="n">
        <v>50</v>
      </c>
      <c r="G13" s="41" t="n">
        <f aca="false">IF(E13&gt;0,F13*E13/100,F13*100/ABS(E13))</f>
        <v>22.2222222222222</v>
      </c>
      <c r="H13" s="41" t="n">
        <f aca="false">F13+G13</f>
        <v>72.2222222222222</v>
      </c>
      <c r="I13" s="42" t="s">
        <v>90</v>
      </c>
      <c r="J13" s="41" t="n">
        <f aca="false">IF(I13="Win",F13+G13,IF(I13="Push",F13,IF(I13="Loss",0,0)))</f>
        <v>72.2222222222222</v>
      </c>
      <c r="K13" s="43" t="n">
        <f aca="false">IF(I13="Pending",0,J13-F13)</f>
        <v>22.2222222222222</v>
      </c>
      <c r="L13" s="44" t="s">
        <v>111</v>
      </c>
    </row>
    <row r="14" customFormat="false" ht="15" hidden="false" customHeight="true" outlineLevel="0" collapsed="false">
      <c r="A14" s="33" t="n">
        <v>8</v>
      </c>
      <c r="B14" s="37" t="s">
        <v>112</v>
      </c>
      <c r="C14" s="38" t="s">
        <v>113</v>
      </c>
      <c r="D14" s="33" t="s">
        <v>89</v>
      </c>
      <c r="E14" s="39" t="n">
        <v>-258</v>
      </c>
      <c r="F14" s="40" t="n">
        <v>62</v>
      </c>
      <c r="G14" s="41" t="n">
        <f aca="false">IF(E14&gt;0,F14*E14/100,F14*100/ABS(E14))</f>
        <v>24.031007751938</v>
      </c>
      <c r="H14" s="41" t="n">
        <f aca="false">F14+G14</f>
        <v>86.031007751938</v>
      </c>
      <c r="I14" s="42" t="s">
        <v>90</v>
      </c>
      <c r="J14" s="41" t="n">
        <f aca="false">IF(I14="Win",F14+G14,IF(I14="Push",F14,IF(I14="Loss",0,0)))</f>
        <v>86.031007751938</v>
      </c>
      <c r="K14" s="43" t="n">
        <f aca="false">IF(I14="Pending",0,J14-F14)</f>
        <v>24.031007751938</v>
      </c>
      <c r="L14" s="44" t="s">
        <v>114</v>
      </c>
    </row>
    <row r="15" customFormat="false" ht="15" hidden="false" customHeight="true" outlineLevel="0" collapsed="false">
      <c r="A15" s="33" t="n">
        <v>9</v>
      </c>
      <c r="B15" s="37" t="s">
        <v>115</v>
      </c>
      <c r="C15" s="38" t="s">
        <v>116</v>
      </c>
      <c r="D15" s="33" t="s">
        <v>117</v>
      </c>
      <c r="E15" s="39" t="n">
        <v>443</v>
      </c>
      <c r="F15" s="40" t="n">
        <v>50</v>
      </c>
      <c r="G15" s="41" t="n">
        <f aca="false">IF(E15&gt;0,F15*E15/100,F15*100/ABS(E15))</f>
        <v>221.5</v>
      </c>
      <c r="H15" s="41" t="n">
        <f aca="false">F15+G15</f>
        <v>271.5</v>
      </c>
      <c r="I15" s="45" t="s">
        <v>98</v>
      </c>
      <c r="J15" s="41" t="n">
        <f aca="false">IF(I15="Win",F15+G15,IF(I15="Push",F15,IF(I15="Loss",0,0)))</f>
        <v>0</v>
      </c>
      <c r="K15" s="43" t="n">
        <f aca="false">IF(I15="Pending",0,J15-F15)</f>
        <v>-50</v>
      </c>
      <c r="L15" s="44" t="s">
        <v>118</v>
      </c>
    </row>
    <row r="16" customFormat="false" ht="15" hidden="false" customHeight="true" outlineLevel="0" collapsed="false">
      <c r="A16" s="46"/>
      <c r="B16" s="47" t="s">
        <v>39</v>
      </c>
      <c r="C16" s="46"/>
      <c r="D16" s="46"/>
      <c r="E16" s="46"/>
      <c r="F16" s="48" t="n">
        <f aca="false">SUM(F7:F15)</f>
        <v>1050</v>
      </c>
      <c r="G16" s="49" t="n">
        <f aca="false">SUM(G7:G15)</f>
        <v>830.481932464331</v>
      </c>
      <c r="H16" s="49" t="n">
        <f aca="false">SUM(H7:H15)</f>
        <v>1880.48193246433</v>
      </c>
      <c r="I16" s="46"/>
      <c r="J16" s="49" t="n">
        <f aca="false">SUM(J7:J15)</f>
        <v>1215.1103728313</v>
      </c>
      <c r="K16" s="50" t="n">
        <f aca="false">SUM(K7:K15)</f>
        <v>165.110372831303</v>
      </c>
      <c r="L16" s="46"/>
    </row>
    <row r="18" customFormat="false" ht="15" hidden="false" customHeight="true" outlineLevel="0" collapsed="false">
      <c r="B18" s="4" t="s">
        <v>119</v>
      </c>
    </row>
    <row r="19" customFormat="false" ht="15" hidden="false" customHeight="true" outlineLevel="0" collapsed="false">
      <c r="B19" s="37" t="s">
        <v>120</v>
      </c>
      <c r="C19" s="51" t="n">
        <f aca="false">COUNTIF(I7:I15,"Win")</f>
        <v>6</v>
      </c>
    </row>
    <row r="20" customFormat="false" ht="15" hidden="false" customHeight="true" outlineLevel="0" collapsed="false">
      <c r="B20" s="37" t="s">
        <v>121</v>
      </c>
      <c r="C20" s="51" t="n">
        <f aca="false">COUNTIF(I7:I15,"Loss")</f>
        <v>3</v>
      </c>
    </row>
    <row r="21" customFormat="false" ht="15" hidden="false" customHeight="true" outlineLevel="0" collapsed="false">
      <c r="B21" s="37" t="s">
        <v>122</v>
      </c>
      <c r="C21" s="51" t="n">
        <f aca="false">COUNTIF(I7:I15,"Push")</f>
        <v>0</v>
      </c>
    </row>
    <row r="22" customFormat="false" ht="15" hidden="false" customHeight="true" outlineLevel="0" collapsed="false">
      <c r="B22" s="37" t="s">
        <v>123</v>
      </c>
      <c r="C22" s="51" t="n">
        <f aca="false">COUNTIF(I7:I15,"Pending")</f>
        <v>0</v>
      </c>
    </row>
    <row r="23" customFormat="false" ht="15" hidden="false" customHeight="true" outlineLevel="0" collapsed="false">
      <c r="B23" s="37" t="s">
        <v>124</v>
      </c>
      <c r="C23" s="52" t="n">
        <f aca="false">IF(COUNTIF(I7:I15,"Win")+COUNTIF(I7:I15,"Loss")=0,"—",COUNTIF(I7:I15,"Win")/(COUNTIF(I7:I15,"Win")+COUNTIF(I7:I15,"Loss")))</f>
        <v>0.666666666666667</v>
      </c>
    </row>
    <row r="24" customFormat="false" ht="15" hidden="false" customHeight="true" outlineLevel="0" collapsed="false">
      <c r="B24" s="37" t="s">
        <v>125</v>
      </c>
      <c r="C24" s="34" t="n">
        <f aca="false">SUM(F7:F15)</f>
        <v>1050</v>
      </c>
    </row>
    <row r="25" customFormat="false" ht="15" hidden="false" customHeight="true" outlineLevel="0" collapsed="false">
      <c r="B25" s="37" t="s">
        <v>126</v>
      </c>
      <c r="C25" s="41" t="n">
        <f aca="false">SUM(J7:J15)</f>
        <v>1215.1103728313</v>
      </c>
    </row>
    <row r="26" customFormat="false" ht="15" hidden="false" customHeight="true" outlineLevel="0" collapsed="false">
      <c r="B26" s="37" t="s">
        <v>127</v>
      </c>
      <c r="C26" s="43" t="n">
        <f aca="false">SUM(K7:K15)</f>
        <v>165.110372831303</v>
      </c>
    </row>
    <row r="27" customFormat="false" ht="15" hidden="false" customHeight="true" outlineLevel="0" collapsed="false">
      <c r="B27" s="37" t="s">
        <v>128</v>
      </c>
      <c r="C27" s="52" t="n">
        <f aca="false">IF(SUM(F7:F15)=0,"—",SUM(K7:K15)/SUM(F7:F15))</f>
        <v>0.157247974125051</v>
      </c>
    </row>
    <row r="28" customFormat="false" ht="15" hidden="false" customHeight="true" outlineLevel="0" collapsed="false">
      <c r="B28" s="37" t="s">
        <v>129</v>
      </c>
      <c r="C28" s="41" t="n">
        <f aca="false">SUM(H7:H15)</f>
        <v>1880.48193246433</v>
      </c>
    </row>
    <row r="30" customFormat="false" ht="15" hidden="false" customHeight="true" outlineLevel="0" collapsed="false">
      <c r="A30" s="4" t="s">
        <v>130</v>
      </c>
    </row>
    <row r="31" customFormat="false" ht="34.5" hidden="false" customHeight="true" outlineLevel="0" collapsed="false">
      <c r="A31" s="12" t="s">
        <v>12</v>
      </c>
      <c r="B31" s="12" t="s">
        <v>131</v>
      </c>
      <c r="C31" s="12" t="s">
        <v>132</v>
      </c>
      <c r="D31" s="12" t="s">
        <v>133</v>
      </c>
      <c r="E31" s="12" t="s">
        <v>134</v>
      </c>
      <c r="F31" s="12" t="s">
        <v>135</v>
      </c>
    </row>
    <row r="32" customFormat="false" ht="15" hidden="false" customHeight="true" outlineLevel="0" collapsed="false">
      <c r="A32" s="33" t="n">
        <v>1</v>
      </c>
      <c r="B32" s="37" t="s">
        <v>136</v>
      </c>
      <c r="C32" s="44" t="s">
        <v>137</v>
      </c>
      <c r="D32" s="53" t="s">
        <v>138</v>
      </c>
      <c r="E32" s="54" t="s">
        <v>139</v>
      </c>
      <c r="F32" s="54" t="s">
        <v>140</v>
      </c>
    </row>
    <row r="33" customFormat="false" ht="15" hidden="false" customHeight="true" outlineLevel="0" collapsed="false">
      <c r="A33" s="33" t="n">
        <v>2</v>
      </c>
      <c r="B33" s="37" t="s">
        <v>141</v>
      </c>
      <c r="C33" s="44" t="s">
        <v>142</v>
      </c>
      <c r="D33" s="53" t="s">
        <v>143</v>
      </c>
      <c r="E33" s="54" t="s">
        <v>144</v>
      </c>
      <c r="F33" s="54" t="s">
        <v>145</v>
      </c>
    </row>
    <row r="34" customFormat="false" ht="15" hidden="false" customHeight="true" outlineLevel="0" collapsed="false">
      <c r="A34" s="33" t="n">
        <v>3</v>
      </c>
      <c r="B34" s="37" t="s">
        <v>146</v>
      </c>
      <c r="C34" s="44" t="s">
        <v>147</v>
      </c>
      <c r="D34" s="53" t="s">
        <v>148</v>
      </c>
      <c r="E34" s="54" t="s">
        <v>149</v>
      </c>
      <c r="F34" s="54" t="s">
        <v>150</v>
      </c>
    </row>
    <row r="35" customFormat="false" ht="15" hidden="false" customHeight="true" outlineLevel="0" collapsed="false">
      <c r="A35" s="33" t="n">
        <v>4</v>
      </c>
      <c r="B35" s="37" t="s">
        <v>151</v>
      </c>
      <c r="C35" s="44" t="s">
        <v>152</v>
      </c>
      <c r="D35" s="53" t="s">
        <v>153</v>
      </c>
      <c r="E35" s="54" t="s">
        <v>154</v>
      </c>
      <c r="F35" s="54" t="s">
        <v>155</v>
      </c>
    </row>
    <row r="36" customFormat="false" ht="15" hidden="false" customHeight="true" outlineLevel="0" collapsed="false">
      <c r="A36" s="33" t="n">
        <v>5</v>
      </c>
      <c r="B36" s="37" t="s">
        <v>156</v>
      </c>
      <c r="C36" s="44" t="s">
        <v>157</v>
      </c>
      <c r="D36" s="53" t="s">
        <v>158</v>
      </c>
      <c r="E36" s="54" t="s">
        <v>159</v>
      </c>
      <c r="F36" s="54" t="s">
        <v>160</v>
      </c>
    </row>
    <row r="37" customFormat="false" ht="15" hidden="false" customHeight="true" outlineLevel="0" collapsed="false">
      <c r="A37" s="33" t="n">
        <v>6</v>
      </c>
      <c r="B37" s="37" t="s">
        <v>161</v>
      </c>
      <c r="C37" s="44" t="s">
        <v>162</v>
      </c>
      <c r="D37" s="53" t="s">
        <v>47</v>
      </c>
      <c r="E37" s="54" t="s">
        <v>163</v>
      </c>
      <c r="F37" s="54" t="s">
        <v>164</v>
      </c>
    </row>
    <row r="39" customFormat="false" ht="15" hidden="false" customHeight="true" outlineLevel="0" collapsed="false">
      <c r="A39" s="55" t="s">
        <v>165</v>
      </c>
    </row>
    <row r="40" customFormat="false" ht="15" hidden="false" customHeight="true" outlineLevel="0" collapsed="false">
      <c r="A40" s="55" t="s">
        <v>166</v>
      </c>
    </row>
    <row r="41" customFormat="false" ht="15" hidden="false" customHeight="true" outlineLevel="0" collapsed="false">
      <c r="A41" s="55" t="s">
        <v>167</v>
      </c>
    </row>
  </sheetData>
  <conditionalFormatting sqref="K7:K16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6:C27">
    <cfRule type="expression" priority="4" aboveAverage="0" equalAverage="0" bottom="0" percent="0" rank="0" text="" dxfId="0">
      <formula>AND(ISNUMBER(C26),C26&gt;0)</formula>
    </cfRule>
    <cfRule type="expression" priority="5" aboveAverage="0" equalAverage="0" bottom="0" percent="0" rank="0" text="" dxfId="1">
      <formula>AND(ISNUMBER(C26),C26&lt;0)</formula>
    </cfRule>
  </conditionalFormatting>
  <dataValidations count="1">
    <dataValidation allowBlank="false" errorStyle="stop" operator="between" showDropDown="false" showErrorMessage="false" showInputMessage="false" sqref="I7:I15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3D"/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44"/>
  </cols>
  <sheetData>
    <row r="1" customFormat="false" ht="15.75" hidden="false" customHeight="true" outlineLevel="0" collapsed="false">
      <c r="A1" s="35" t="s">
        <v>168</v>
      </c>
      <c r="H1" s="56" t="s">
        <v>169</v>
      </c>
    </row>
    <row r="2" customFormat="false" ht="15" hidden="false" customHeight="true" outlineLevel="0" collapsed="false">
      <c r="A2" s="3" t="s">
        <v>170</v>
      </c>
    </row>
    <row r="3" customFormat="false" ht="15" hidden="false" customHeight="true" outlineLevel="0" collapsed="false">
      <c r="A3" s="3" t="s">
        <v>171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172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86</v>
      </c>
    </row>
    <row r="7" customFormat="false" ht="15" hidden="false" customHeight="true" outlineLevel="0" collapsed="false">
      <c r="A7" s="33" t="n">
        <v>1</v>
      </c>
      <c r="B7" s="37" t="s">
        <v>173</v>
      </c>
      <c r="C7" s="38" t="s">
        <v>174</v>
      </c>
      <c r="D7" s="33" t="s">
        <v>175</v>
      </c>
      <c r="E7" s="39" t="n">
        <v>-144</v>
      </c>
      <c r="F7" s="40" t="n">
        <v>300</v>
      </c>
      <c r="G7" s="41" t="n">
        <f aca="false">IF(E7&gt;0,F7*E7/100,F7*100/ABS(E7))</f>
        <v>208.333333333333</v>
      </c>
      <c r="H7" s="41" t="n">
        <f aca="false">F7+G7</f>
        <v>508.333333333333</v>
      </c>
      <c r="I7" s="57" t="s">
        <v>98</v>
      </c>
      <c r="J7" s="41" t="n">
        <f aca="false">IF(I7="Win",F7+G7,IF(I7="Push",F7,IF(I7="Loss",0,0)))</f>
        <v>0</v>
      </c>
      <c r="K7" s="43" t="n">
        <f aca="false">IF(I7="Pending",0,J7-F7)</f>
        <v>-300</v>
      </c>
      <c r="L7" s="44" t="s">
        <v>176</v>
      </c>
    </row>
    <row r="8" customFormat="false" ht="15" hidden="false" customHeight="true" outlineLevel="0" collapsed="false">
      <c r="A8" s="33" t="n">
        <v>2</v>
      </c>
      <c r="B8" s="37" t="s">
        <v>177</v>
      </c>
      <c r="C8" s="38" t="s">
        <v>178</v>
      </c>
      <c r="D8" s="33" t="s">
        <v>179</v>
      </c>
      <c r="E8" s="39" t="n">
        <v>-122</v>
      </c>
      <c r="F8" s="40" t="n">
        <v>120</v>
      </c>
      <c r="G8" s="41" t="n">
        <f aca="false">IF(E8&gt;0,F8*E8/100,F8*100/ABS(E8))</f>
        <v>98.3606557377049</v>
      </c>
      <c r="H8" s="41" t="n">
        <f aca="false">F8+G8</f>
        <v>218.360655737705</v>
      </c>
      <c r="I8" s="57" t="s">
        <v>90</v>
      </c>
      <c r="J8" s="41" t="n">
        <f aca="false">IF(I8="Win",F8+G8,IF(I8="Push",F8,IF(I8="Loss",0,0)))</f>
        <v>218.360655737705</v>
      </c>
      <c r="K8" s="43" t="n">
        <f aca="false">IF(I8="Pending",0,J8-F8)</f>
        <v>98.3606557377049</v>
      </c>
      <c r="L8" s="44" t="s">
        <v>180</v>
      </c>
    </row>
    <row r="9" customFormat="false" ht="15" hidden="false" customHeight="true" outlineLevel="0" collapsed="false">
      <c r="A9" s="33" t="n">
        <v>3</v>
      </c>
      <c r="B9" s="37" t="s">
        <v>181</v>
      </c>
      <c r="C9" s="38" t="s">
        <v>182</v>
      </c>
      <c r="D9" s="33" t="s">
        <v>183</v>
      </c>
      <c r="E9" s="39" t="n">
        <v>175</v>
      </c>
      <c r="F9" s="40" t="n">
        <v>150</v>
      </c>
      <c r="G9" s="41" t="n">
        <f aca="false">IF(E9&gt;0,F9*E9/100,F9*100/ABS(E9))</f>
        <v>262.5</v>
      </c>
      <c r="H9" s="41" t="n">
        <f aca="false">F9+G9</f>
        <v>412.5</v>
      </c>
      <c r="I9" s="57" t="s">
        <v>90</v>
      </c>
      <c r="J9" s="41" t="n">
        <f aca="false">IF(I9="Win",F9+G9,IF(I9="Push",F9,IF(I9="Loss",0,0)))</f>
        <v>412.5</v>
      </c>
      <c r="K9" s="43" t="n">
        <f aca="false">IF(I9="Pending",0,J9-F9)</f>
        <v>262.5</v>
      </c>
      <c r="L9" s="44" t="s">
        <v>184</v>
      </c>
    </row>
    <row r="10" customFormat="false" ht="15" hidden="false" customHeight="true" outlineLevel="0" collapsed="false">
      <c r="A10" s="33" t="n">
        <v>4</v>
      </c>
      <c r="B10" s="37" t="s">
        <v>185</v>
      </c>
      <c r="C10" s="38" t="s">
        <v>186</v>
      </c>
      <c r="D10" s="33" t="s">
        <v>183</v>
      </c>
      <c r="E10" s="39" t="n">
        <v>205</v>
      </c>
      <c r="F10" s="40" t="n">
        <v>80</v>
      </c>
      <c r="G10" s="41" t="n">
        <f aca="false">IF(E10&gt;0,F10*E10/100,F10*100/ABS(E10))</f>
        <v>164</v>
      </c>
      <c r="H10" s="41" t="n">
        <f aca="false">F10+G10</f>
        <v>244</v>
      </c>
      <c r="I10" s="57" t="s">
        <v>98</v>
      </c>
      <c r="J10" s="41" t="n">
        <f aca="false">IF(I10="Win",F10+G10,IF(I10="Push",F10,IF(I10="Loss",0,0)))</f>
        <v>0</v>
      </c>
      <c r="K10" s="43" t="n">
        <f aca="false">IF(I10="Pending",0,J10-F10)</f>
        <v>-80</v>
      </c>
      <c r="L10" s="44" t="s">
        <v>187</v>
      </c>
    </row>
    <row r="11" customFormat="false" ht="15" hidden="false" customHeight="true" outlineLevel="0" collapsed="false">
      <c r="A11" s="33" t="n">
        <v>5</v>
      </c>
      <c r="B11" s="37" t="s">
        <v>188</v>
      </c>
      <c r="C11" s="38" t="s">
        <v>189</v>
      </c>
      <c r="D11" s="33" t="s">
        <v>190</v>
      </c>
      <c r="E11" s="39" t="n">
        <v>160</v>
      </c>
      <c r="F11" s="40" t="n">
        <v>250</v>
      </c>
      <c r="G11" s="41" t="n">
        <f aca="false">IF(E11&gt;0,F11*E11/100,F11*100/ABS(E11))</f>
        <v>400</v>
      </c>
      <c r="H11" s="41" t="n">
        <f aca="false">F11+G11</f>
        <v>650</v>
      </c>
      <c r="I11" s="57" t="s">
        <v>98</v>
      </c>
      <c r="J11" s="41" t="n">
        <f aca="false">IF(I11="Win",F11+G11,IF(I11="Push",F11,IF(I11="Loss",0,0)))</f>
        <v>0</v>
      </c>
      <c r="K11" s="43" t="n">
        <f aca="false">IF(I11="Pending",0,J11-F11)</f>
        <v>-250</v>
      </c>
      <c r="L11" s="44" t="s">
        <v>191</v>
      </c>
    </row>
    <row r="12" customFormat="false" ht="15" hidden="false" customHeight="true" outlineLevel="0" collapsed="false">
      <c r="A12" s="33" t="n">
        <v>6</v>
      </c>
      <c r="B12" s="37" t="s">
        <v>192</v>
      </c>
      <c r="C12" s="38" t="s">
        <v>193</v>
      </c>
      <c r="D12" s="33" t="s">
        <v>190</v>
      </c>
      <c r="E12" s="39" t="n">
        <v>500</v>
      </c>
      <c r="F12" s="40" t="n">
        <v>50</v>
      </c>
      <c r="G12" s="41" t="n">
        <f aca="false">IF(E12&gt;0,F12*E12/100,F12*100/ABS(E12))</f>
        <v>250</v>
      </c>
      <c r="H12" s="41" t="n">
        <f aca="false">F12+G12</f>
        <v>300</v>
      </c>
      <c r="I12" s="57" t="s">
        <v>98</v>
      </c>
      <c r="J12" s="41" t="n">
        <f aca="false">IF(I12="Win",F12+G12,IF(I12="Push",F12,IF(I12="Loss",0,0)))</f>
        <v>0</v>
      </c>
      <c r="K12" s="43" t="n">
        <f aca="false">IF(I12="Pending",0,J12-F12)</f>
        <v>-50</v>
      </c>
      <c r="L12" s="44" t="s">
        <v>194</v>
      </c>
    </row>
    <row r="13" customFormat="false" ht="15" hidden="false" customHeight="true" outlineLevel="0" collapsed="false">
      <c r="A13" s="33" t="n">
        <v>7</v>
      </c>
      <c r="B13" s="37" t="s">
        <v>195</v>
      </c>
      <c r="C13" s="38" t="s">
        <v>196</v>
      </c>
      <c r="D13" s="33" t="s">
        <v>117</v>
      </c>
      <c r="E13" s="39" t="n">
        <v>179</v>
      </c>
      <c r="F13" s="40" t="n">
        <v>50</v>
      </c>
      <c r="G13" s="41" t="n">
        <f aca="false">IF(E13&gt;0,F13*E13/100,F13*100/ABS(E13))</f>
        <v>89.5</v>
      </c>
      <c r="H13" s="41" t="n">
        <f aca="false">F13+G13</f>
        <v>139.5</v>
      </c>
      <c r="I13" s="57" t="s">
        <v>98</v>
      </c>
      <c r="J13" s="41" t="n">
        <f aca="false">IF(I13="Win",F13+G13,IF(I13="Push",F13,IF(I13="Loss",0,0)))</f>
        <v>0</v>
      </c>
      <c r="K13" s="43" t="n">
        <f aca="false">IF(I13="Pending",0,J13-F13)</f>
        <v>-50</v>
      </c>
      <c r="L13" s="44" t="s">
        <v>197</v>
      </c>
    </row>
    <row r="14" customFormat="false" ht="15" hidden="false" customHeight="true" outlineLevel="0" collapsed="false">
      <c r="A14" s="46"/>
      <c r="B14" s="47" t="s">
        <v>39</v>
      </c>
      <c r="C14" s="46"/>
      <c r="D14" s="46"/>
      <c r="E14" s="46"/>
      <c r="F14" s="48" t="n">
        <f aca="false">SUM(F7:F13)</f>
        <v>1000</v>
      </c>
      <c r="G14" s="49" t="n">
        <f aca="false">SUM(G7:G13)</f>
        <v>1472.69398907104</v>
      </c>
      <c r="H14" s="49" t="n">
        <f aca="false">SUM(H7:H13)</f>
        <v>2472.69398907104</v>
      </c>
      <c r="I14" s="46"/>
      <c r="J14" s="49" t="n">
        <f aca="false">SUM(J7:J13)</f>
        <v>630.860655737705</v>
      </c>
      <c r="K14" s="50" t="n">
        <f aca="false">SUM(K7:K13)</f>
        <v>-369.139344262295</v>
      </c>
      <c r="L14" s="46"/>
    </row>
    <row r="16" customFormat="false" ht="15" hidden="false" customHeight="true" outlineLevel="0" collapsed="false">
      <c r="B16" s="4" t="s">
        <v>119</v>
      </c>
    </row>
    <row r="17" customFormat="false" ht="15" hidden="false" customHeight="true" outlineLevel="0" collapsed="false">
      <c r="B17" s="37" t="s">
        <v>120</v>
      </c>
      <c r="C17" s="51" t="n">
        <f aca="false">COUNTIF(I7:I13,"Win")</f>
        <v>2</v>
      </c>
    </row>
    <row r="18" customFormat="false" ht="15" hidden="false" customHeight="true" outlineLevel="0" collapsed="false">
      <c r="B18" s="37" t="s">
        <v>121</v>
      </c>
      <c r="C18" s="51" t="n">
        <f aca="false">COUNTIF(I7:I13,"Loss")</f>
        <v>5</v>
      </c>
    </row>
    <row r="19" customFormat="false" ht="15" hidden="false" customHeight="true" outlineLevel="0" collapsed="false">
      <c r="B19" s="37" t="s">
        <v>122</v>
      </c>
      <c r="C19" s="51" t="n">
        <f aca="false">COUNTIF(I7:I13,"Push")</f>
        <v>0</v>
      </c>
    </row>
    <row r="20" customFormat="false" ht="15" hidden="false" customHeight="true" outlineLevel="0" collapsed="false">
      <c r="B20" s="37" t="s">
        <v>123</v>
      </c>
      <c r="C20" s="51" t="n">
        <f aca="false">COUNTIF(I7:I13,"Pending")</f>
        <v>0</v>
      </c>
    </row>
    <row r="21" customFormat="false" ht="15" hidden="false" customHeight="true" outlineLevel="0" collapsed="false">
      <c r="B21" s="37" t="s">
        <v>124</v>
      </c>
      <c r="C21" s="52" t="n">
        <f aca="false">IF(COUNTIF(I7:I13,"Win")+COUNTIF(I7:I13,"Loss")=0,"—",COUNTIF(I7:I13,"Win")/(COUNTIF(I7:I13,"Win")+COUNTIF(I7:I13,"Loss")))</f>
        <v>0.285714285714286</v>
      </c>
    </row>
    <row r="22" customFormat="false" ht="15" hidden="false" customHeight="true" outlineLevel="0" collapsed="false">
      <c r="B22" s="37" t="s">
        <v>125</v>
      </c>
      <c r="C22" s="34" t="n">
        <f aca="false">SUM(F7:F13)</f>
        <v>1000</v>
      </c>
    </row>
    <row r="23" customFormat="false" ht="15" hidden="false" customHeight="true" outlineLevel="0" collapsed="false">
      <c r="B23" s="37" t="s">
        <v>126</v>
      </c>
      <c r="C23" s="41" t="n">
        <f aca="false">SUM(J7:J13)</f>
        <v>630.860655737705</v>
      </c>
    </row>
    <row r="24" customFormat="false" ht="15" hidden="false" customHeight="true" outlineLevel="0" collapsed="false">
      <c r="B24" s="37" t="s">
        <v>127</v>
      </c>
      <c r="C24" s="43" t="n">
        <f aca="false">SUM(K7:K13)</f>
        <v>-369.139344262295</v>
      </c>
    </row>
    <row r="25" customFormat="false" ht="15" hidden="false" customHeight="true" outlineLevel="0" collapsed="false">
      <c r="B25" s="37" t="s">
        <v>128</v>
      </c>
      <c r="C25" s="52" t="n">
        <f aca="false">IF(SUM(F7:F13)=0,"—",SUM(K7:K13)/SUM(F7:F13))</f>
        <v>-0.369139344262295</v>
      </c>
    </row>
    <row r="26" customFormat="false" ht="15" hidden="false" customHeight="true" outlineLevel="0" collapsed="false">
      <c r="B26" s="37" t="s">
        <v>198</v>
      </c>
      <c r="C26" s="34" t="n">
        <f aca="false">929</f>
        <v>929</v>
      </c>
    </row>
    <row r="28" customFormat="false" ht="15" hidden="false" customHeight="true" outlineLevel="0" collapsed="false">
      <c r="A28" s="4" t="s">
        <v>199</v>
      </c>
    </row>
    <row r="29" customFormat="false" ht="34.5" hidden="false" customHeight="true" outlineLevel="0" collapsed="false">
      <c r="A29" s="12" t="s">
        <v>12</v>
      </c>
      <c r="B29" s="12" t="s">
        <v>200</v>
      </c>
      <c r="C29" s="12" t="s">
        <v>132</v>
      </c>
      <c r="D29" s="12" t="s">
        <v>133</v>
      </c>
      <c r="E29" s="12" t="s">
        <v>201</v>
      </c>
      <c r="F29" s="12" t="s">
        <v>135</v>
      </c>
    </row>
    <row r="30" customFormat="false" ht="15" hidden="false" customHeight="true" outlineLevel="0" collapsed="false">
      <c r="A30" s="33" t="n">
        <v>1</v>
      </c>
      <c r="B30" s="37" t="s">
        <v>202</v>
      </c>
      <c r="C30" s="44" t="s">
        <v>203</v>
      </c>
      <c r="D30" s="53" t="s">
        <v>204</v>
      </c>
      <c r="E30" s="57"/>
      <c r="F30" s="57"/>
    </row>
    <row r="31" customFormat="false" ht="15" hidden="false" customHeight="true" outlineLevel="0" collapsed="false">
      <c r="A31" s="33" t="n">
        <v>2</v>
      </c>
      <c r="B31" s="37" t="s">
        <v>205</v>
      </c>
      <c r="C31" s="44" t="s">
        <v>206</v>
      </c>
      <c r="D31" s="53" t="s">
        <v>207</v>
      </c>
      <c r="E31" s="57"/>
      <c r="F31" s="57"/>
    </row>
    <row r="32" customFormat="false" ht="15" hidden="false" customHeight="true" outlineLevel="0" collapsed="false">
      <c r="A32" s="33" t="n">
        <v>3</v>
      </c>
      <c r="B32" s="37" t="s">
        <v>208</v>
      </c>
      <c r="C32" s="44" t="s">
        <v>209</v>
      </c>
      <c r="D32" s="53" t="s">
        <v>210</v>
      </c>
      <c r="E32" s="57"/>
      <c r="F32" s="57"/>
    </row>
    <row r="33" customFormat="false" ht="15" hidden="false" customHeight="true" outlineLevel="0" collapsed="false">
      <c r="A33" s="33" t="n">
        <v>4</v>
      </c>
      <c r="B33" s="37" t="s">
        <v>211</v>
      </c>
      <c r="C33" s="44" t="s">
        <v>212</v>
      </c>
      <c r="D33" s="53" t="s">
        <v>213</v>
      </c>
      <c r="E33" s="57"/>
      <c r="F33" s="57"/>
    </row>
    <row r="35" customFormat="false" ht="15" hidden="false" customHeight="true" outlineLevel="0" collapsed="false">
      <c r="A35" s="55" t="s">
        <v>214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4:C25">
    <cfRule type="expression" priority="4" aboveAverage="0" equalAverage="0" bottom="0" percent="0" rank="0" text="" dxfId="0">
      <formula>AND(ISNUMBER(C24),C24&gt;0)</formula>
    </cfRule>
    <cfRule type="expression" priority="5" aboveAverage="0" equalAverage="0" bottom="0" percent="0" rank="0" text="" dxfId="1">
      <formula>AND(ISNUMBER(C24),C24&lt;0)</formula>
    </cfRule>
  </conditionalFormatting>
  <dataValidations count="1">
    <dataValidation allowBlank="false" errorStyle="stop" operator="between" showDropDown="false" showErrorMessage="false" showInputMessage="false" sqref="I7:I13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10"/>
    <col collapsed="false" customWidth="true" hidden="false" outlineLevel="0" max="13" min="13" style="1" width="46"/>
  </cols>
  <sheetData>
    <row r="1" customFormat="false" ht="15.75" hidden="false" customHeight="true" outlineLevel="0" collapsed="false">
      <c r="A1" s="35" t="s">
        <v>215</v>
      </c>
      <c r="H1" s="36" t="s">
        <v>216</v>
      </c>
    </row>
    <row r="2" customFormat="false" ht="15" hidden="false" customHeight="true" outlineLevel="0" collapsed="false">
      <c r="A2" s="3" t="s">
        <v>217</v>
      </c>
    </row>
    <row r="3" customFormat="false" ht="15" hidden="false" customHeight="true" outlineLevel="0" collapsed="false">
      <c r="A3" s="3" t="s">
        <v>218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219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37" t="s">
        <v>221</v>
      </c>
      <c r="C7" s="38" t="s">
        <v>222</v>
      </c>
      <c r="D7" s="33" t="s">
        <v>89</v>
      </c>
      <c r="E7" s="39" t="n">
        <v>-155</v>
      </c>
      <c r="F7" s="40" t="n">
        <v>200</v>
      </c>
      <c r="G7" s="41" t="n">
        <f aca="false">IF(E7&gt;0,F7*E7/100,F7*100/ABS(E7))</f>
        <v>129.032258064516</v>
      </c>
      <c r="H7" s="41" t="n">
        <f aca="false">F7+G7</f>
        <v>329.032258064516</v>
      </c>
      <c r="I7" s="42" t="s">
        <v>90</v>
      </c>
      <c r="J7" s="41" t="n">
        <f aca="false">IF(I7="Win",F7+G7,IF(I7="Push",F7,IF(I7="Loss",0,0)))</f>
        <v>329.032258064516</v>
      </c>
      <c r="K7" s="43" t="n">
        <f aca="false">IF(I7="Pending",0,J7-F7)</f>
        <v>129.032258064516</v>
      </c>
      <c r="L7" s="58" t="n">
        <v>0.62</v>
      </c>
      <c r="M7" s="44" t="s">
        <v>223</v>
      </c>
    </row>
    <row r="8" customFormat="false" ht="15" hidden="false" customHeight="true" outlineLevel="0" collapsed="false">
      <c r="A8" s="33" t="n">
        <v>2</v>
      </c>
      <c r="B8" s="37" t="s">
        <v>224</v>
      </c>
      <c r="C8" s="38" t="s">
        <v>225</v>
      </c>
      <c r="D8" s="33" t="s">
        <v>89</v>
      </c>
      <c r="E8" s="39" t="n">
        <v>-104</v>
      </c>
      <c r="F8" s="40" t="n">
        <v>150</v>
      </c>
      <c r="G8" s="41" t="n">
        <f aca="false">IF(E8&gt;0,F8*E8/100,F8*100/ABS(E8))</f>
        <v>144.230769230769</v>
      </c>
      <c r="H8" s="41" t="n">
        <f aca="false">F8+G8</f>
        <v>294.230769230769</v>
      </c>
      <c r="I8" s="45" t="s">
        <v>98</v>
      </c>
      <c r="J8" s="41" t="n">
        <f aca="false">IF(I8="Win",F8+G8,IF(I8="Push",F8,IF(I8="Loss",0,0)))</f>
        <v>0</v>
      </c>
      <c r="K8" s="43" t="n">
        <f aca="false">IF(I8="Pending",0,J8-F8)</f>
        <v>-150</v>
      </c>
      <c r="L8" s="58" t="n">
        <v>0.54</v>
      </c>
      <c r="M8" s="44" t="s">
        <v>226</v>
      </c>
    </row>
    <row r="9" customFormat="false" ht="15" hidden="false" customHeight="true" outlineLevel="0" collapsed="false">
      <c r="A9" s="33" t="n">
        <v>3</v>
      </c>
      <c r="B9" s="37" t="s">
        <v>227</v>
      </c>
      <c r="C9" s="38" t="s">
        <v>228</v>
      </c>
      <c r="D9" s="33" t="s">
        <v>89</v>
      </c>
      <c r="E9" s="39" t="n">
        <v>-115</v>
      </c>
      <c r="F9" s="40" t="n">
        <v>150</v>
      </c>
      <c r="G9" s="41" t="n">
        <f aca="false">IF(E9&gt;0,F9*E9/100,F9*100/ABS(E9))</f>
        <v>130.434782608696</v>
      </c>
      <c r="H9" s="41" t="n">
        <f aca="false">F9+G9</f>
        <v>280.434782608696</v>
      </c>
      <c r="I9" s="45" t="s">
        <v>98</v>
      </c>
      <c r="J9" s="41" t="n">
        <f aca="false">IF(I9="Win",F9+G9,IF(I9="Push",F9,IF(I9="Loss",0,0)))</f>
        <v>0</v>
      </c>
      <c r="K9" s="43" t="n">
        <f aca="false">IF(I9="Pending",0,J9-F9)</f>
        <v>-150</v>
      </c>
      <c r="L9" s="58" t="n">
        <v>0.55</v>
      </c>
      <c r="M9" s="44" t="s">
        <v>229</v>
      </c>
    </row>
    <row r="10" customFormat="false" ht="15" hidden="false" customHeight="true" outlineLevel="0" collapsed="false">
      <c r="A10" s="33" t="n">
        <v>4</v>
      </c>
      <c r="B10" s="37" t="s">
        <v>230</v>
      </c>
      <c r="C10" s="38" t="s">
        <v>231</v>
      </c>
      <c r="D10" s="33" t="s">
        <v>179</v>
      </c>
      <c r="E10" s="39" t="n">
        <v>-114</v>
      </c>
      <c r="F10" s="40" t="n">
        <v>120</v>
      </c>
      <c r="G10" s="41" t="n">
        <f aca="false">IF(E10&gt;0,F10*E10/100,F10*100/ABS(E10))</f>
        <v>105.263157894737</v>
      </c>
      <c r="H10" s="41" t="n">
        <f aca="false">F10+G10</f>
        <v>225.263157894737</v>
      </c>
      <c r="I10" s="45" t="s">
        <v>98</v>
      </c>
      <c r="J10" s="41" t="n">
        <f aca="false">IF(I10="Win",F10+G10,IF(I10="Push",F10,IF(I10="Loss",0,0)))</f>
        <v>0</v>
      </c>
      <c r="K10" s="43" t="n">
        <f aca="false">IF(I10="Pending",0,J10-F10)</f>
        <v>-120</v>
      </c>
      <c r="L10" s="58" t="n">
        <v>0.55</v>
      </c>
      <c r="M10" s="44" t="s">
        <v>232</v>
      </c>
    </row>
    <row r="11" customFormat="false" ht="15" hidden="false" customHeight="true" outlineLevel="0" collapsed="false">
      <c r="A11" s="33" t="n">
        <v>5</v>
      </c>
      <c r="B11" s="37" t="s">
        <v>233</v>
      </c>
      <c r="C11" s="38" t="s">
        <v>234</v>
      </c>
      <c r="D11" s="33" t="s">
        <v>89</v>
      </c>
      <c r="E11" s="39" t="n">
        <v>104</v>
      </c>
      <c r="F11" s="40" t="n">
        <v>130</v>
      </c>
      <c r="G11" s="41" t="n">
        <f aca="false">IF(E11&gt;0,F11*E11/100,F11*100/ABS(E11))</f>
        <v>135.2</v>
      </c>
      <c r="H11" s="41" t="n">
        <f aca="false">F11+G11</f>
        <v>265.2</v>
      </c>
      <c r="I11" s="42" t="s">
        <v>90</v>
      </c>
      <c r="J11" s="41" t="n">
        <f aca="false">IF(I11="Win",F11+G11,IF(I11="Push",F11,IF(I11="Loss",0,0)))</f>
        <v>265.2</v>
      </c>
      <c r="K11" s="43" t="n">
        <f aca="false">IF(I11="Pending",0,J11-F11)</f>
        <v>135.2</v>
      </c>
      <c r="L11" s="58" t="n">
        <v>0.52</v>
      </c>
      <c r="M11" s="44" t="s">
        <v>235</v>
      </c>
    </row>
    <row r="12" customFormat="false" ht="15" hidden="false" customHeight="true" outlineLevel="0" collapsed="false">
      <c r="A12" s="33" t="n">
        <v>6</v>
      </c>
      <c r="B12" s="37" t="s">
        <v>236</v>
      </c>
      <c r="C12" s="38" t="s">
        <v>237</v>
      </c>
      <c r="D12" s="33" t="s">
        <v>89</v>
      </c>
      <c r="E12" s="39" t="n">
        <v>108</v>
      </c>
      <c r="F12" s="40" t="n">
        <v>100</v>
      </c>
      <c r="G12" s="41" t="n">
        <f aca="false">IF(E12&gt;0,F12*E12/100,F12*100/ABS(E12))</f>
        <v>108</v>
      </c>
      <c r="H12" s="41" t="n">
        <f aca="false">F12+G12</f>
        <v>208</v>
      </c>
      <c r="I12" s="45" t="s">
        <v>98</v>
      </c>
      <c r="J12" s="41" t="n">
        <f aca="false">IF(I12="Win",F12+G12,IF(I12="Push",F12,IF(I12="Loss",0,0)))</f>
        <v>0</v>
      </c>
      <c r="K12" s="43" t="n">
        <f aca="false">IF(I12="Pending",0,J12-F12)</f>
        <v>-100</v>
      </c>
      <c r="L12" s="58" t="n">
        <v>0.5</v>
      </c>
      <c r="M12" s="44" t="s">
        <v>238</v>
      </c>
    </row>
    <row r="13" customFormat="false" ht="15" hidden="false" customHeight="true" outlineLevel="0" collapsed="false">
      <c r="A13" s="33" t="n">
        <v>7</v>
      </c>
      <c r="B13" s="37" t="s">
        <v>239</v>
      </c>
      <c r="C13" s="38" t="s">
        <v>240</v>
      </c>
      <c r="D13" s="33" t="s">
        <v>89</v>
      </c>
      <c r="E13" s="39" t="n">
        <v>108</v>
      </c>
      <c r="F13" s="40" t="n">
        <v>100</v>
      </c>
      <c r="G13" s="41" t="n">
        <f aca="false">IF(E13&gt;0,F13*E13/100,F13*100/ABS(E13))</f>
        <v>108</v>
      </c>
      <c r="H13" s="41" t="n">
        <f aca="false">F13+G13</f>
        <v>208</v>
      </c>
      <c r="I13" s="42" t="s">
        <v>90</v>
      </c>
      <c r="J13" s="41" t="n">
        <f aca="false">IF(I13="Win",F13+G13,IF(I13="Push",F13,IF(I13="Loss",0,0)))</f>
        <v>208</v>
      </c>
      <c r="K13" s="43" t="n">
        <f aca="false">IF(I13="Pending",0,J13-F13)</f>
        <v>108</v>
      </c>
      <c r="L13" s="58" t="n">
        <v>0.5</v>
      </c>
      <c r="M13" s="44" t="s">
        <v>241</v>
      </c>
    </row>
    <row r="14" customFormat="false" ht="15" hidden="false" customHeight="true" outlineLevel="0" collapsed="false">
      <c r="A14" s="33" t="n">
        <v>8</v>
      </c>
      <c r="B14" s="37" t="s">
        <v>242</v>
      </c>
      <c r="C14" s="38" t="s">
        <v>243</v>
      </c>
      <c r="D14" s="33" t="s">
        <v>117</v>
      </c>
      <c r="E14" s="39" t="n">
        <v>732</v>
      </c>
      <c r="F14" s="40" t="n">
        <v>50</v>
      </c>
      <c r="G14" s="41" t="n">
        <f aca="false">IF(E14&gt;0,F14*E14/100,F14*100/ABS(E14))</f>
        <v>366</v>
      </c>
      <c r="H14" s="41" t="n">
        <f aca="false">F14+G14</f>
        <v>416</v>
      </c>
      <c r="I14" s="45" t="s">
        <v>98</v>
      </c>
      <c r="J14" s="41" t="n">
        <f aca="false">IF(I14="Win",F14+G14,IF(I14="Push",F14,IF(I14="Loss",0,0)))</f>
        <v>0</v>
      </c>
      <c r="K14" s="43" t="n">
        <f aca="false">IF(I14="Pending",0,J14-F14)</f>
        <v>-50</v>
      </c>
      <c r="L14" s="58" t="n">
        <v>0.14</v>
      </c>
      <c r="M14" s="44" t="s">
        <v>244</v>
      </c>
    </row>
    <row r="15" customFormat="false" ht="15" hidden="false" customHeight="true" outlineLevel="0" collapsed="false">
      <c r="A15" s="46"/>
      <c r="B15" s="47" t="s">
        <v>39</v>
      </c>
      <c r="C15" s="46"/>
      <c r="D15" s="46"/>
      <c r="E15" s="46"/>
      <c r="F15" s="48" t="n">
        <f aca="false">SUM(F7:F14)</f>
        <v>1000</v>
      </c>
      <c r="G15" s="49" t="n">
        <f aca="false">SUM(G7:G14)</f>
        <v>1226.16096779872</v>
      </c>
      <c r="H15" s="49" t="n">
        <f aca="false">SUM(H7:H14)</f>
        <v>2226.16096779872</v>
      </c>
      <c r="I15" s="46"/>
      <c r="J15" s="49" t="n">
        <f aca="false">SUM(J7:J14)</f>
        <v>802.232258064516</v>
      </c>
      <c r="K15" s="50" t="n">
        <f aca="false">SUM(K7:K14)</f>
        <v>-197.767741935484</v>
      </c>
      <c r="L15" s="59" t="n">
        <f aca="false">SUM(L7:L14)</f>
        <v>3.92</v>
      </c>
      <c r="M15" s="46"/>
    </row>
    <row r="17" customFormat="false" ht="15" hidden="false" customHeight="true" outlineLevel="0" collapsed="false">
      <c r="B17" s="4" t="s">
        <v>119</v>
      </c>
    </row>
    <row r="18" customFormat="false" ht="15" hidden="false" customHeight="true" outlineLevel="0" collapsed="false">
      <c r="B18" s="37" t="s">
        <v>120</v>
      </c>
      <c r="C18" s="51" t="n">
        <f aca="false">COUNTIF(I7:I14,"Win")</f>
        <v>3</v>
      </c>
    </row>
    <row r="19" customFormat="false" ht="15" hidden="false" customHeight="true" outlineLevel="0" collapsed="false">
      <c r="B19" s="37" t="s">
        <v>121</v>
      </c>
      <c r="C19" s="51" t="n">
        <f aca="false">COUNTIF(I7:I14,"Loss")</f>
        <v>5</v>
      </c>
    </row>
    <row r="20" customFormat="false" ht="15" hidden="false" customHeight="true" outlineLevel="0" collapsed="false">
      <c r="B20" s="37" t="s">
        <v>122</v>
      </c>
      <c r="C20" s="51" t="n">
        <f aca="false">COUNTIF(I7:I14,"Push")</f>
        <v>0</v>
      </c>
    </row>
    <row r="21" customFormat="false" ht="15" hidden="false" customHeight="true" outlineLevel="0" collapsed="false">
      <c r="B21" s="37" t="s">
        <v>123</v>
      </c>
      <c r="C21" s="51" t="n">
        <f aca="false">COUNTIF(I7:I14,"Pending")</f>
        <v>0</v>
      </c>
    </row>
    <row r="22" customFormat="false" ht="15" hidden="false" customHeight="true" outlineLevel="0" collapsed="false">
      <c r="B22" s="37" t="s">
        <v>124</v>
      </c>
      <c r="C22" s="52" t="n">
        <f aca="false">IF(COUNTIF(I7:I14,"Win")+COUNTIF(I7:I14,"Loss")=0,"—",COUNTIF(I7:I14,"Win")/(COUNTIF(I7:I14,"Win")+COUNTIF(I7:I14,"Loss")))</f>
        <v>0.375</v>
      </c>
    </row>
    <row r="23" customFormat="false" ht="15" hidden="false" customHeight="true" outlineLevel="0" collapsed="false">
      <c r="B23" s="37" t="s">
        <v>125</v>
      </c>
      <c r="C23" s="34" t="n">
        <f aca="false">SUM(F7:F14)</f>
        <v>1000</v>
      </c>
    </row>
    <row r="24" customFormat="false" ht="15" hidden="false" customHeight="true" outlineLevel="0" collapsed="false">
      <c r="B24" s="37" t="s">
        <v>126</v>
      </c>
      <c r="C24" s="41" t="n">
        <f aca="false">SUM(J7:J14)</f>
        <v>802.232258064516</v>
      </c>
    </row>
    <row r="25" customFormat="false" ht="15" hidden="false" customHeight="true" outlineLevel="0" collapsed="false">
      <c r="B25" s="37" t="s">
        <v>127</v>
      </c>
      <c r="C25" s="43" t="n">
        <f aca="false">SUM(K7:K14)</f>
        <v>-197.767741935484</v>
      </c>
    </row>
    <row r="26" customFormat="false" ht="15" hidden="false" customHeight="true" outlineLevel="0" collapsed="false">
      <c r="B26" s="37" t="s">
        <v>128</v>
      </c>
      <c r="C26" s="52" t="n">
        <f aca="false">IF(SUM(F7:F14)=0,"—",SUM(K7:K14)/SUM(F7:F14))</f>
        <v>-0.197767741935484</v>
      </c>
    </row>
    <row r="27" customFormat="false" ht="15" hidden="false" customHeight="true" outlineLevel="0" collapsed="false">
      <c r="B27" s="37" t="s">
        <v>129</v>
      </c>
      <c r="C27" s="41" t="n">
        <f aca="false">SUM(H7:H14)</f>
        <v>2226.16096779872</v>
      </c>
    </row>
    <row r="28" customFormat="false" ht="15" hidden="false" customHeight="true" outlineLevel="0" collapsed="false">
      <c r="B28" s="37" t="s">
        <v>245</v>
      </c>
      <c r="C28" s="60" t="n">
        <f aca="false">SUM(L7:L14)</f>
        <v>3.92</v>
      </c>
    </row>
    <row r="29" customFormat="false" ht="15" hidden="false" customHeight="true" outlineLevel="0" collapsed="false">
      <c r="B29" s="37" t="s">
        <v>246</v>
      </c>
      <c r="C29" s="43" t="n">
        <f aca="false">SUMPRODUCT(L7:L14,G7:G14)-SUMPRODUCT(1-L7:L14,F7:F14)</f>
        <v>45.1624826615033</v>
      </c>
    </row>
    <row r="31" customFormat="false" ht="15" hidden="false" customHeight="true" outlineLevel="0" collapsed="false">
      <c r="A31" s="4" t="s">
        <v>247</v>
      </c>
    </row>
    <row r="32" customFormat="false" ht="34.5" hidden="false" customHeight="true" outlineLevel="0" collapsed="false">
      <c r="A32" s="12" t="s">
        <v>12</v>
      </c>
      <c r="B32" s="12" t="s">
        <v>248</v>
      </c>
      <c r="C32" s="12" t="s">
        <v>132</v>
      </c>
      <c r="D32" s="12" t="s">
        <v>249</v>
      </c>
      <c r="E32" s="12" t="s">
        <v>134</v>
      </c>
      <c r="F32" s="12" t="s">
        <v>135</v>
      </c>
    </row>
    <row r="33" customFormat="false" ht="15" hidden="false" customHeight="true" outlineLevel="0" collapsed="false">
      <c r="A33" s="33" t="n">
        <v>1</v>
      </c>
      <c r="B33" s="37" t="s">
        <v>250</v>
      </c>
      <c r="C33" s="44" t="s">
        <v>251</v>
      </c>
      <c r="D33" s="53" t="s">
        <v>252</v>
      </c>
      <c r="E33" s="57"/>
      <c r="F33" s="57"/>
    </row>
    <row r="34" customFormat="false" ht="15" hidden="false" customHeight="true" outlineLevel="0" collapsed="false">
      <c r="A34" s="33" t="n">
        <v>2</v>
      </c>
      <c r="B34" s="37" t="s">
        <v>253</v>
      </c>
      <c r="C34" s="44" t="s">
        <v>254</v>
      </c>
      <c r="D34" s="53" t="s">
        <v>255</v>
      </c>
      <c r="E34" s="57"/>
      <c r="F34" s="57"/>
    </row>
    <row r="35" customFormat="false" ht="15" hidden="false" customHeight="true" outlineLevel="0" collapsed="false">
      <c r="A35" s="33" t="n">
        <v>3</v>
      </c>
      <c r="B35" s="37" t="s">
        <v>256</v>
      </c>
      <c r="C35" s="44" t="s">
        <v>257</v>
      </c>
      <c r="D35" s="53" t="s">
        <v>258</v>
      </c>
      <c r="E35" s="57"/>
      <c r="F35" s="57"/>
    </row>
    <row r="36" customFormat="false" ht="15" hidden="false" customHeight="true" outlineLevel="0" collapsed="false">
      <c r="A36" s="33" t="n">
        <v>4</v>
      </c>
      <c r="B36" s="37" t="s">
        <v>259</v>
      </c>
      <c r="C36" s="44" t="s">
        <v>260</v>
      </c>
      <c r="D36" s="53" t="s">
        <v>261</v>
      </c>
      <c r="E36" s="57"/>
      <c r="F36" s="57"/>
    </row>
    <row r="37" customFormat="false" ht="15" hidden="false" customHeight="true" outlineLevel="0" collapsed="false">
      <c r="A37" s="33" t="n">
        <v>5</v>
      </c>
      <c r="B37" s="37" t="s">
        <v>262</v>
      </c>
      <c r="C37" s="44" t="s">
        <v>263</v>
      </c>
      <c r="D37" s="53" t="s">
        <v>264</v>
      </c>
      <c r="E37" s="57"/>
      <c r="F37" s="57"/>
    </row>
    <row r="38" customFormat="false" ht="15" hidden="false" customHeight="true" outlineLevel="0" collapsed="false">
      <c r="A38" s="33" t="n">
        <v>6</v>
      </c>
      <c r="B38" s="37" t="s">
        <v>265</v>
      </c>
      <c r="C38" s="44" t="s">
        <v>266</v>
      </c>
      <c r="D38" s="53" t="s">
        <v>267</v>
      </c>
      <c r="E38" s="57"/>
      <c r="F38" s="57"/>
    </row>
    <row r="39" customFormat="false" ht="15" hidden="false" customHeight="true" outlineLevel="0" collapsed="false">
      <c r="A39" s="33" t="n">
        <v>7</v>
      </c>
      <c r="B39" s="37" t="s">
        <v>268</v>
      </c>
      <c r="C39" s="44" t="s">
        <v>269</v>
      </c>
      <c r="D39" s="53" t="s">
        <v>270</v>
      </c>
      <c r="E39" s="57"/>
      <c r="F39" s="57"/>
    </row>
    <row r="40" customFormat="false" ht="15" hidden="false" customHeight="true" outlineLevel="0" collapsed="false">
      <c r="A40" s="33" t="n">
        <v>8</v>
      </c>
      <c r="B40" s="37" t="s">
        <v>271</v>
      </c>
      <c r="C40" s="44" t="s">
        <v>272</v>
      </c>
      <c r="D40" s="53" t="s">
        <v>273</v>
      </c>
      <c r="E40" s="57"/>
      <c r="F40" s="57"/>
    </row>
    <row r="42" customFormat="false" ht="15" hidden="false" customHeight="true" outlineLevel="0" collapsed="false">
      <c r="A42" s="55" t="s">
        <v>274</v>
      </c>
    </row>
  </sheetData>
  <conditionalFormatting sqref="K7:K15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5:C26">
    <cfRule type="expression" priority="4" aboveAverage="0" equalAverage="0" bottom="0" percent="0" rank="0" text="" dxfId="0">
      <formula>AND(ISNUMBER(C25),C25&gt;0)</formula>
    </cfRule>
    <cfRule type="expression" priority="5" aboveAverage="0" equalAverage="0" bottom="0" percent="0" rank="0" text="" dxfId="1">
      <formula>AND(ISNUMBER(C25),C25&lt;0)</formula>
    </cfRule>
  </conditionalFormatting>
  <conditionalFormatting sqref="C29">
    <cfRule type="expression" priority="6" aboveAverage="0" equalAverage="0" bottom="0" percent="0" rank="0" text="" dxfId="0">
      <formula>AND(ISNUMBER(C29),C29&gt;0)</formula>
    </cfRule>
    <cfRule type="expression" priority="7" aboveAverage="0" equalAverage="0" bottom="0" percent="0" rank="0" text="" dxfId="1">
      <formula>AND(ISNUMBER(C29),C29&lt;0)</formula>
    </cfRule>
  </conditionalFormatting>
  <dataValidations count="1">
    <dataValidation allowBlank="false" errorStyle="stop" operator="between" showDropDown="false" showErrorMessage="false" showInputMessage="false" sqref="I7:I14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10"/>
    <col collapsed="false" customWidth="true" hidden="false" outlineLevel="0" max="13" min="13" style="1" width="50"/>
  </cols>
  <sheetData>
    <row r="1" customFormat="false" ht="15.75" hidden="false" customHeight="true" outlineLevel="0" collapsed="false">
      <c r="A1" s="35" t="s">
        <v>275</v>
      </c>
      <c r="H1" s="56" t="s">
        <v>276</v>
      </c>
    </row>
    <row r="2" customFormat="false" ht="15" hidden="false" customHeight="true" outlineLevel="0" collapsed="false">
      <c r="A2" s="3" t="s">
        <v>277</v>
      </c>
    </row>
    <row r="3" customFormat="false" ht="15" hidden="false" customHeight="true" outlineLevel="0" collapsed="false">
      <c r="A3" s="61" t="s">
        <v>278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200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5" t="s">
        <v>279</v>
      </c>
      <c r="C7" s="32" t="s">
        <v>280</v>
      </c>
      <c r="D7" s="33" t="s">
        <v>281</v>
      </c>
      <c r="E7" s="39" t="n">
        <v>-113</v>
      </c>
      <c r="F7" s="40" t="n">
        <v>300</v>
      </c>
      <c r="G7" s="41" t="n">
        <f aca="false">IF(E7&gt;0,F7*E7/100,F7*100/ABS(E7))</f>
        <v>265.486725663717</v>
      </c>
      <c r="H7" s="41" t="n">
        <f aca="false">F7+G7</f>
        <v>565.486725663717</v>
      </c>
      <c r="I7" s="57" t="s">
        <v>90</v>
      </c>
      <c r="J7" s="41" t="n">
        <f aca="false">IF(I7="Win",F7+G7,IF(I7="Push",F7,IF(I7="Loss",0,0)))</f>
        <v>565.486725663717</v>
      </c>
      <c r="K7" s="43" t="n">
        <f aca="false">IF(I7="Pending",0,J7-F7)</f>
        <v>265.486725663717</v>
      </c>
      <c r="L7" s="58" t="n">
        <v>0.58</v>
      </c>
      <c r="M7" s="62" t="s">
        <v>282</v>
      </c>
    </row>
    <row r="8" customFormat="false" ht="15" hidden="false" customHeight="true" outlineLevel="0" collapsed="false">
      <c r="A8" s="33" t="n">
        <v>2</v>
      </c>
      <c r="B8" s="5" t="s">
        <v>283</v>
      </c>
      <c r="C8" s="32" t="s">
        <v>284</v>
      </c>
      <c r="D8" s="33" t="s">
        <v>94</v>
      </c>
      <c r="E8" s="39" t="n">
        <v>456</v>
      </c>
      <c r="F8" s="40" t="n">
        <v>200</v>
      </c>
      <c r="G8" s="41" t="n">
        <f aca="false">IF(E8&gt;0,F8*E8/100,F8*100/ABS(E8))</f>
        <v>912</v>
      </c>
      <c r="H8" s="41" t="n">
        <f aca="false">F8+G8</f>
        <v>1112</v>
      </c>
      <c r="I8" s="57" t="s">
        <v>98</v>
      </c>
      <c r="J8" s="41" t="n">
        <f aca="false">IF(I8="Win",F8+G8,IF(I8="Push",F8,IF(I8="Loss",0,0)))</f>
        <v>0</v>
      </c>
      <c r="K8" s="43" t="n">
        <f aca="false">IF(I8="Pending",0,J8-F8)</f>
        <v>-200</v>
      </c>
      <c r="L8" s="58" t="n">
        <v>0.24</v>
      </c>
      <c r="M8" s="62" t="s">
        <v>285</v>
      </c>
    </row>
    <row r="9" customFormat="false" ht="15" hidden="false" customHeight="true" outlineLevel="0" collapsed="false">
      <c r="A9" s="33" t="n">
        <v>3</v>
      </c>
      <c r="B9" s="5" t="s">
        <v>286</v>
      </c>
      <c r="C9" s="32" t="s">
        <v>287</v>
      </c>
      <c r="D9" s="33" t="s">
        <v>190</v>
      </c>
      <c r="E9" s="39" t="n">
        <v>1150</v>
      </c>
      <c r="F9" s="40" t="n">
        <v>150</v>
      </c>
      <c r="G9" s="41" t="n">
        <f aca="false">IF(E9&gt;0,F9*E9/100,F9*100/ABS(E9))</f>
        <v>1725</v>
      </c>
      <c r="H9" s="41" t="n">
        <f aca="false">F9+G9</f>
        <v>1875</v>
      </c>
      <c r="I9" s="57" t="s">
        <v>98</v>
      </c>
      <c r="J9" s="41" t="n">
        <f aca="false">IF(I9="Win",F9+G9,IF(I9="Push",F9,IF(I9="Loss",0,0)))</f>
        <v>0</v>
      </c>
      <c r="K9" s="43" t="n">
        <f aca="false">IF(I9="Pending",0,J9-F9)</f>
        <v>-150</v>
      </c>
      <c r="L9" s="58" t="n">
        <v>0.1</v>
      </c>
      <c r="M9" s="62" t="s">
        <v>288</v>
      </c>
    </row>
    <row r="10" customFormat="false" ht="15" hidden="false" customHeight="true" outlineLevel="0" collapsed="false">
      <c r="A10" s="33" t="n">
        <v>4</v>
      </c>
      <c r="B10" s="5" t="s">
        <v>289</v>
      </c>
      <c r="C10" s="32" t="s">
        <v>287</v>
      </c>
      <c r="D10" s="33" t="s">
        <v>190</v>
      </c>
      <c r="E10" s="39" t="n">
        <v>1567</v>
      </c>
      <c r="F10" s="40" t="n">
        <v>120</v>
      </c>
      <c r="G10" s="41" t="n">
        <f aca="false">IF(E10&gt;0,F10*E10/100,F10*100/ABS(E10))</f>
        <v>1880.4</v>
      </c>
      <c r="H10" s="41" t="n">
        <f aca="false">F10+G10</f>
        <v>2000.4</v>
      </c>
      <c r="I10" s="57" t="s">
        <v>98</v>
      </c>
      <c r="J10" s="41" t="n">
        <f aca="false">IF(I10="Win",F10+G10,IF(I10="Push",F10,IF(I10="Loss",0,0)))</f>
        <v>0</v>
      </c>
      <c r="K10" s="43" t="n">
        <f aca="false">IF(I10="Pending",0,J10-F10)</f>
        <v>-120</v>
      </c>
      <c r="L10" s="58" t="n">
        <v>0.08</v>
      </c>
      <c r="M10" s="62" t="s">
        <v>290</v>
      </c>
    </row>
    <row r="11" customFormat="false" ht="15" hidden="false" customHeight="true" outlineLevel="0" collapsed="false">
      <c r="A11" s="33" t="n">
        <v>5</v>
      </c>
      <c r="B11" s="5" t="s">
        <v>291</v>
      </c>
      <c r="C11" s="32" t="s">
        <v>287</v>
      </c>
      <c r="D11" s="33" t="s">
        <v>190</v>
      </c>
      <c r="E11" s="39" t="n">
        <v>1800</v>
      </c>
      <c r="F11" s="40" t="n">
        <v>100</v>
      </c>
      <c r="G11" s="41" t="n">
        <f aca="false">IF(E11&gt;0,F11*E11/100,F11*100/ABS(E11))</f>
        <v>1800</v>
      </c>
      <c r="H11" s="41" t="n">
        <f aca="false">F11+G11</f>
        <v>1900</v>
      </c>
      <c r="I11" s="57" t="s">
        <v>98</v>
      </c>
      <c r="J11" s="41" t="n">
        <f aca="false">IF(I11="Win",F11+G11,IF(I11="Push",F11,IF(I11="Loss",0,0)))</f>
        <v>0</v>
      </c>
      <c r="K11" s="43" t="n">
        <f aca="false">IF(I11="Pending",0,J11-F11)</f>
        <v>-100</v>
      </c>
      <c r="L11" s="58" t="n">
        <v>0.07</v>
      </c>
      <c r="M11" s="62" t="s">
        <v>292</v>
      </c>
    </row>
    <row r="12" customFormat="false" ht="15" hidden="false" customHeight="true" outlineLevel="0" collapsed="false">
      <c r="A12" s="33" t="n">
        <v>6</v>
      </c>
      <c r="B12" s="5" t="s">
        <v>293</v>
      </c>
      <c r="C12" s="32" t="s">
        <v>287</v>
      </c>
      <c r="D12" s="33" t="s">
        <v>190</v>
      </c>
      <c r="E12" s="39" t="n">
        <v>1150</v>
      </c>
      <c r="F12" s="40" t="n">
        <v>90</v>
      </c>
      <c r="G12" s="41" t="n">
        <f aca="false">IF(E12&gt;0,F12*E12/100,F12*100/ABS(E12))</f>
        <v>1035</v>
      </c>
      <c r="H12" s="41" t="n">
        <f aca="false">F12+G12</f>
        <v>1125</v>
      </c>
      <c r="I12" s="57" t="s">
        <v>98</v>
      </c>
      <c r="J12" s="41" t="n">
        <f aca="false">IF(I12="Win",F12+G12,IF(I12="Push",F12,IF(I12="Loss",0,0)))</f>
        <v>0</v>
      </c>
      <c r="K12" s="43" t="n">
        <f aca="false">IF(I12="Pending",0,J12-F12)</f>
        <v>-90</v>
      </c>
      <c r="L12" s="58" t="n">
        <v>0.08</v>
      </c>
      <c r="M12" s="62" t="s">
        <v>294</v>
      </c>
    </row>
    <row r="13" customFormat="false" ht="15" hidden="false" customHeight="true" outlineLevel="0" collapsed="false">
      <c r="A13" s="33" t="n">
        <v>7</v>
      </c>
      <c r="B13" s="5" t="s">
        <v>295</v>
      </c>
      <c r="C13" s="32" t="s">
        <v>287</v>
      </c>
      <c r="D13" s="33" t="s">
        <v>190</v>
      </c>
      <c r="E13" s="39" t="n">
        <v>1900</v>
      </c>
      <c r="F13" s="40" t="n">
        <v>40</v>
      </c>
      <c r="G13" s="41" t="n">
        <f aca="false">IF(E13&gt;0,F13*E13/100,F13*100/ABS(E13))</f>
        <v>760</v>
      </c>
      <c r="H13" s="41" t="n">
        <f aca="false">F13+G13</f>
        <v>800</v>
      </c>
      <c r="I13" s="57" t="s">
        <v>98</v>
      </c>
      <c r="J13" s="41" t="n">
        <f aca="false">IF(I13="Win",F13+G13,IF(I13="Push",F13,IF(I13="Loss",0,0)))</f>
        <v>0</v>
      </c>
      <c r="K13" s="43" t="n">
        <f aca="false">IF(I13="Pending",0,J13-F13)</f>
        <v>-40</v>
      </c>
      <c r="L13" s="58" t="n">
        <v>0.05</v>
      </c>
      <c r="M13" s="62" t="s">
        <v>296</v>
      </c>
    </row>
    <row r="14" customFormat="false" ht="15" hidden="false" customHeight="true" outlineLevel="0" collapsed="false">
      <c r="A14" s="63"/>
      <c r="B14" s="64" t="s">
        <v>39</v>
      </c>
      <c r="C14" s="63"/>
      <c r="D14" s="63"/>
      <c r="E14" s="63"/>
      <c r="F14" s="48" t="n">
        <f aca="false">SUM(F7:F13)</f>
        <v>1000</v>
      </c>
      <c r="G14" s="49" t="n">
        <f aca="false">SUM(G7:G13)</f>
        <v>8377.88672566372</v>
      </c>
      <c r="H14" s="49" t="n">
        <f aca="false">SUM(H7:H13)</f>
        <v>9377.88672566372</v>
      </c>
      <c r="I14" s="63"/>
      <c r="J14" s="49" t="n">
        <f aca="false">SUM(J7:J13)</f>
        <v>565.486725663717</v>
      </c>
      <c r="K14" s="50" t="n">
        <f aca="false">SUM(K7:K13)</f>
        <v>-434.513274336283</v>
      </c>
      <c r="L14" s="59" t="n">
        <f aca="false">SUM(L7:L13)</f>
        <v>1.2</v>
      </c>
      <c r="M14" s="63"/>
    </row>
    <row r="16" customFormat="false" ht="15" hidden="false" customHeight="true" outlineLevel="0" collapsed="false">
      <c r="B16" s="4" t="s">
        <v>119</v>
      </c>
    </row>
    <row r="17" customFormat="false" ht="15" hidden="false" customHeight="true" outlineLevel="0" collapsed="false">
      <c r="B17" s="5" t="s">
        <v>120</v>
      </c>
      <c r="C17" s="51" t="n">
        <f aca="false">COUNTIF(I7:I13,"Win")</f>
        <v>1</v>
      </c>
    </row>
    <row r="18" customFormat="false" ht="15" hidden="false" customHeight="true" outlineLevel="0" collapsed="false">
      <c r="B18" s="5" t="s">
        <v>121</v>
      </c>
      <c r="C18" s="51" t="n">
        <f aca="false">COUNTIF(I7:I13,"Loss")</f>
        <v>6</v>
      </c>
    </row>
    <row r="19" customFormat="false" ht="15" hidden="false" customHeight="true" outlineLevel="0" collapsed="false">
      <c r="B19" s="5" t="s">
        <v>122</v>
      </c>
      <c r="C19" s="51" t="n">
        <f aca="false">COUNTIF(I7:I13,"Push")</f>
        <v>0</v>
      </c>
    </row>
    <row r="20" customFormat="false" ht="15" hidden="false" customHeight="true" outlineLevel="0" collapsed="false">
      <c r="B20" s="5" t="s">
        <v>123</v>
      </c>
      <c r="C20" s="51" t="n">
        <f aca="false">COUNTIF(I7:I13,"Pending")</f>
        <v>0</v>
      </c>
    </row>
    <row r="21" customFormat="false" ht="15" hidden="false" customHeight="true" outlineLevel="0" collapsed="false">
      <c r="B21" s="5" t="s">
        <v>124</v>
      </c>
      <c r="C21" s="52" t="n">
        <f aca="false">IF(COUNTIF(I7:I13,"Win")+COUNTIF(I7:I13,"Loss")=0,"—",COUNTIF(I7:I13,"Win")/(COUNTIF(I7:I13,"Win")+COUNTIF(I7:I13,"Loss")))</f>
        <v>0.142857142857143</v>
      </c>
    </row>
    <row r="22" customFormat="false" ht="15" hidden="false" customHeight="true" outlineLevel="0" collapsed="false">
      <c r="B22" s="5" t="s">
        <v>125</v>
      </c>
      <c r="C22" s="34" t="n">
        <f aca="false">SUM(F7:F13)</f>
        <v>1000</v>
      </c>
    </row>
    <row r="23" customFormat="false" ht="15" hidden="false" customHeight="true" outlineLevel="0" collapsed="false">
      <c r="B23" s="5" t="s">
        <v>126</v>
      </c>
      <c r="C23" s="41" t="n">
        <f aca="false">SUM(J7:J13)</f>
        <v>565.486725663717</v>
      </c>
    </row>
    <row r="24" customFormat="false" ht="15" hidden="false" customHeight="true" outlineLevel="0" collapsed="false">
      <c r="B24" s="5" t="s">
        <v>127</v>
      </c>
      <c r="C24" s="43" t="n">
        <f aca="false">SUM(K7:K13)</f>
        <v>-434.513274336283</v>
      </c>
    </row>
    <row r="25" customFormat="false" ht="15" hidden="false" customHeight="true" outlineLevel="0" collapsed="false">
      <c r="B25" s="5" t="s">
        <v>128</v>
      </c>
      <c r="C25" s="52" t="n">
        <f aca="false">IF(SUM(F7:F13)=0,"—",SUM(K7:K13)/SUM(F7:F13))</f>
        <v>-0.434513274336283</v>
      </c>
    </row>
    <row r="26" customFormat="false" ht="15" hidden="false" customHeight="true" outlineLevel="0" collapsed="false">
      <c r="B26" s="5" t="s">
        <v>245</v>
      </c>
      <c r="C26" s="60" t="n">
        <f aca="false">SUM(L7:L13)</f>
        <v>1.2</v>
      </c>
    </row>
    <row r="27" customFormat="false" ht="15" hidden="false" customHeight="true" outlineLevel="0" collapsed="false">
      <c r="B27" s="5" t="s">
        <v>297</v>
      </c>
      <c r="C27" s="34" t="n">
        <f aca="false">2678</f>
        <v>2678</v>
      </c>
    </row>
    <row r="29" customFormat="false" ht="15" hidden="false" customHeight="true" outlineLevel="0" collapsed="false">
      <c r="A29" s="55" t="s">
        <v>298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4:C25">
    <cfRule type="expression" priority="4" aboveAverage="0" equalAverage="0" bottom="0" percent="0" rank="0" text="" dxfId="0">
      <formula>AND(ISNUMBER(C24),C24&gt;0)</formula>
    </cfRule>
    <cfRule type="expression" priority="5" aboveAverage="0" equalAverage="0" bottom="0" percent="0" rank="0" text="" dxfId="1">
      <formula>AND(ISNUMBER(C24),C24&lt;0)</formula>
    </cfRule>
  </conditionalFormatting>
  <dataValidations count="1">
    <dataValidation allowBlank="false" errorStyle="stop" operator="between" showDropDown="false" showErrorMessage="false" showInputMessage="false" sqref="I7:I13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8"/>
    <col collapsed="false" customWidth="true" hidden="false" outlineLevel="0" max="5" min="3" style="1" width="9"/>
    <col collapsed="false" customWidth="true" hidden="false" outlineLevel="0" max="6" min="6" style="1" width="11"/>
    <col collapsed="false" customWidth="true" hidden="false" outlineLevel="0" max="7" min="7" style="1" width="48"/>
  </cols>
  <sheetData>
    <row r="1" customFormat="false" ht="15.75" hidden="false" customHeight="true" outlineLevel="0" collapsed="false">
      <c r="A1" s="35" t="s">
        <v>299</v>
      </c>
    </row>
    <row r="2" customFormat="false" ht="15" hidden="false" customHeight="true" outlineLevel="0" collapsed="false">
      <c r="A2" s="3" t="s">
        <v>300</v>
      </c>
    </row>
    <row r="4" customFormat="false" ht="24" hidden="false" customHeight="true" outlineLevel="0" collapsed="false">
      <c r="A4" s="12" t="s">
        <v>301</v>
      </c>
      <c r="B4" s="12" t="s">
        <v>302</v>
      </c>
      <c r="C4" s="12" t="s">
        <v>303</v>
      </c>
      <c r="D4" s="12" t="s">
        <v>304</v>
      </c>
      <c r="E4" s="12" t="s">
        <v>305</v>
      </c>
      <c r="F4" s="12" t="s">
        <v>306</v>
      </c>
      <c r="G4" s="12" t="s">
        <v>86</v>
      </c>
    </row>
    <row r="5" customFormat="false" ht="15" hidden="false" customHeight="true" outlineLevel="0" collapsed="false">
      <c r="A5" s="5" t="s">
        <v>307</v>
      </c>
      <c r="B5" s="65" t="s">
        <v>308</v>
      </c>
      <c r="C5" s="66"/>
      <c r="D5" s="66" t="s">
        <v>309</v>
      </c>
      <c r="E5" s="66" t="s">
        <v>309</v>
      </c>
      <c r="F5" s="66"/>
      <c r="G5" s="67" t="s">
        <v>310</v>
      </c>
    </row>
    <row r="6" customFormat="false" ht="15" hidden="false" customHeight="true" outlineLevel="0" collapsed="false">
      <c r="A6" s="5" t="s">
        <v>311</v>
      </c>
      <c r="B6" s="65" t="s">
        <v>312</v>
      </c>
      <c r="C6" s="66" t="s">
        <v>309</v>
      </c>
      <c r="D6" s="66"/>
      <c r="E6" s="66"/>
      <c r="F6" s="66"/>
      <c r="G6" s="67" t="s">
        <v>313</v>
      </c>
    </row>
    <row r="7" customFormat="false" ht="15" hidden="false" customHeight="true" outlineLevel="0" collapsed="false">
      <c r="A7" s="5" t="s">
        <v>314</v>
      </c>
      <c r="B7" s="65" t="s">
        <v>315</v>
      </c>
      <c r="C7" s="66" t="s">
        <v>309</v>
      </c>
      <c r="D7" s="66"/>
      <c r="E7" s="66"/>
      <c r="F7" s="66"/>
      <c r="G7" s="67" t="s">
        <v>316</v>
      </c>
    </row>
    <row r="8" customFormat="false" ht="15" hidden="false" customHeight="true" outlineLevel="0" collapsed="false">
      <c r="A8" s="5" t="s">
        <v>317</v>
      </c>
      <c r="B8" s="65" t="s">
        <v>318</v>
      </c>
      <c r="C8" s="66"/>
      <c r="D8" s="66" t="s">
        <v>309</v>
      </c>
      <c r="E8" s="66"/>
      <c r="F8" s="66"/>
      <c r="G8" s="67" t="s">
        <v>319</v>
      </c>
    </row>
    <row r="9" customFormat="false" ht="21.75" hidden="false" customHeight="true" outlineLevel="0" collapsed="false">
      <c r="A9" s="5" t="s">
        <v>320</v>
      </c>
      <c r="B9" s="65" t="s">
        <v>321</v>
      </c>
      <c r="C9" s="66"/>
      <c r="D9" s="66" t="s">
        <v>309</v>
      </c>
      <c r="E9" s="66"/>
      <c r="F9" s="66" t="s">
        <v>309</v>
      </c>
      <c r="G9" s="67" t="s">
        <v>322</v>
      </c>
    </row>
    <row r="10" customFormat="false" ht="15" hidden="false" customHeight="true" outlineLevel="0" collapsed="false">
      <c r="A10" s="5" t="s">
        <v>323</v>
      </c>
      <c r="B10" s="65" t="s">
        <v>324</v>
      </c>
      <c r="C10" s="66"/>
      <c r="D10" s="66" t="s">
        <v>309</v>
      </c>
      <c r="E10" s="66" t="s">
        <v>309</v>
      </c>
      <c r="F10" s="66"/>
      <c r="G10" s="67" t="s">
        <v>325</v>
      </c>
    </row>
    <row r="11" customFormat="false" ht="15" hidden="false" customHeight="true" outlineLevel="0" collapsed="false">
      <c r="A11" s="5" t="s">
        <v>326</v>
      </c>
      <c r="B11" s="65" t="s">
        <v>327</v>
      </c>
      <c r="C11" s="66"/>
      <c r="D11" s="66" t="s">
        <v>309</v>
      </c>
      <c r="E11" s="66"/>
      <c r="F11" s="66" t="s">
        <v>309</v>
      </c>
      <c r="G11" s="67" t="s">
        <v>328</v>
      </c>
    </row>
    <row r="12" customFormat="false" ht="15" hidden="false" customHeight="true" outlineLevel="0" collapsed="false">
      <c r="A12" s="5" t="s">
        <v>329</v>
      </c>
      <c r="B12" s="65" t="s">
        <v>330</v>
      </c>
      <c r="C12" s="66"/>
      <c r="D12" s="66" t="s">
        <v>309</v>
      </c>
      <c r="E12" s="66"/>
      <c r="F12" s="66"/>
      <c r="G12" s="67" t="s">
        <v>331</v>
      </c>
    </row>
    <row r="13" customFormat="false" ht="15" hidden="false" customHeight="true" outlineLevel="0" collapsed="false">
      <c r="A13" s="5" t="s">
        <v>332</v>
      </c>
      <c r="B13" s="65" t="s">
        <v>333</v>
      </c>
      <c r="C13" s="66"/>
      <c r="D13" s="66" t="s">
        <v>309</v>
      </c>
      <c r="E13" s="66"/>
      <c r="F13" s="66"/>
      <c r="G13" s="67" t="s">
        <v>334</v>
      </c>
    </row>
    <row r="14" customFormat="false" ht="15" hidden="false" customHeight="true" outlineLevel="0" collapsed="false">
      <c r="A14" s="5" t="s">
        <v>335</v>
      </c>
      <c r="B14" s="65" t="s">
        <v>336</v>
      </c>
      <c r="C14" s="66"/>
      <c r="D14" s="66" t="s">
        <v>309</v>
      </c>
      <c r="E14" s="66"/>
      <c r="F14" s="66"/>
      <c r="G14" s="67" t="s">
        <v>337</v>
      </c>
    </row>
    <row r="15" customFormat="false" ht="15" hidden="false" customHeight="true" outlineLevel="0" collapsed="false">
      <c r="A15" s="5" t="s">
        <v>338</v>
      </c>
      <c r="B15" s="65" t="s">
        <v>339</v>
      </c>
      <c r="C15" s="66"/>
      <c r="D15" s="66" t="s">
        <v>309</v>
      </c>
      <c r="E15" s="66"/>
      <c r="F15" s="66"/>
      <c r="G15" s="67" t="s">
        <v>340</v>
      </c>
    </row>
    <row r="16" customFormat="false" ht="15" hidden="false" customHeight="true" outlineLevel="0" collapsed="false">
      <c r="A16" s="5" t="s">
        <v>341</v>
      </c>
      <c r="B16" s="65" t="s">
        <v>342</v>
      </c>
      <c r="C16" s="66"/>
      <c r="D16" s="66"/>
      <c r="E16" s="66" t="s">
        <v>309</v>
      </c>
      <c r="F16" s="66" t="s">
        <v>309</v>
      </c>
      <c r="G16" s="67" t="s">
        <v>343</v>
      </c>
    </row>
    <row r="17" customFormat="false" ht="15" hidden="false" customHeight="true" outlineLevel="0" collapsed="false">
      <c r="A17" s="5" t="s">
        <v>344</v>
      </c>
      <c r="B17" s="65" t="s">
        <v>345</v>
      </c>
      <c r="C17" s="66"/>
      <c r="D17" s="66"/>
      <c r="E17" s="66" t="s">
        <v>309</v>
      </c>
      <c r="F17" s="66"/>
      <c r="G17" s="67" t="s">
        <v>346</v>
      </c>
    </row>
    <row r="18" customFormat="false" ht="15" hidden="false" customHeight="true" outlineLevel="0" collapsed="false">
      <c r="A18" s="5" t="s">
        <v>347</v>
      </c>
      <c r="B18" s="65" t="s">
        <v>348</v>
      </c>
      <c r="C18" s="66"/>
      <c r="D18" s="66"/>
      <c r="E18" s="66" t="s">
        <v>309</v>
      </c>
      <c r="F18" s="66"/>
      <c r="G18" s="67" t="s">
        <v>349</v>
      </c>
    </row>
    <row r="19" customFormat="false" ht="15" hidden="false" customHeight="true" outlineLevel="0" collapsed="false">
      <c r="A19" s="5" t="s">
        <v>350</v>
      </c>
      <c r="B19" s="65" t="s">
        <v>351</v>
      </c>
      <c r="C19" s="66"/>
      <c r="D19" s="66"/>
      <c r="E19" s="66"/>
      <c r="F19" s="66" t="s">
        <v>309</v>
      </c>
      <c r="G19" s="67" t="s">
        <v>352</v>
      </c>
    </row>
    <row r="20" customFormat="false" ht="15" hidden="false" customHeight="true" outlineLevel="0" collapsed="false">
      <c r="A20" s="68" t="s">
        <v>353</v>
      </c>
      <c r="B20" s="69" t="s">
        <v>354</v>
      </c>
      <c r="D20" s="70" t="s">
        <v>309</v>
      </c>
      <c r="F20" s="70" t="s">
        <v>309</v>
      </c>
      <c r="G20" s="55" t="s">
        <v>355</v>
      </c>
    </row>
    <row r="21" customFormat="false" ht="15" hidden="false" customHeight="true" outlineLevel="0" collapsed="false">
      <c r="A21" s="68" t="s">
        <v>356</v>
      </c>
      <c r="B21" s="69" t="s">
        <v>357</v>
      </c>
      <c r="G21" s="55" t="s">
        <v>358</v>
      </c>
    </row>
    <row r="22" customFormat="false" ht="15" hidden="false" customHeight="true" outlineLevel="0" collapsed="false">
      <c r="A22" s="68" t="s">
        <v>359</v>
      </c>
      <c r="B22" s="69" t="s">
        <v>360</v>
      </c>
      <c r="G22" s="55" t="s">
        <v>361</v>
      </c>
    </row>
    <row r="23" customFormat="false" ht="15" hidden="false" customHeight="true" outlineLevel="0" collapsed="false">
      <c r="A23" s="68" t="s">
        <v>362</v>
      </c>
      <c r="B23" s="69" t="s">
        <v>363</v>
      </c>
      <c r="G23" s="55" t="s">
        <v>364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71" t="s">
        <v>365</v>
      </c>
    </row>
    <row r="26" customFormat="false" ht="15" hidden="false" customHeight="true" outlineLevel="0" collapsed="false">
      <c r="A26" s="3" t="s">
        <v>366</v>
      </c>
    </row>
    <row r="27" customFormat="false" ht="15" hidden="false" customHeight="true" outlineLevel="0" collapsed="false">
      <c r="A27" s="3" t="s">
        <v>367</v>
      </c>
    </row>
    <row r="28" customFormat="false" ht="15" hidden="false" customHeight="true" outlineLevel="0" collapsed="false">
      <c r="A28" s="3" t="s">
        <v>368</v>
      </c>
    </row>
    <row r="29" customFormat="false" ht="15" hidden="false" customHeight="true" outlineLevel="0" collapsed="false">
      <c r="A29" s="72" t="s">
        <v>369</v>
      </c>
      <c r="B29" s="72" t="s">
        <v>370</v>
      </c>
    </row>
    <row r="30" customFormat="false" ht="15" hidden="false" customHeight="true" outlineLevel="0" collapsed="false">
      <c r="A30" s="72" t="s">
        <v>68</v>
      </c>
      <c r="B30" s="72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10"/>
    <col collapsed="false" customWidth="true" hidden="false" outlineLevel="0" max="13" min="13" style="1" width="50"/>
  </cols>
  <sheetData>
    <row r="1" customFormat="false" ht="15.75" hidden="false" customHeight="true" outlineLevel="0" collapsed="false">
      <c r="A1" s="35" t="s">
        <v>372</v>
      </c>
      <c r="H1" s="56" t="s">
        <v>373</v>
      </c>
    </row>
    <row r="2" customFormat="false" ht="15" hidden="false" customHeight="true" outlineLevel="0" collapsed="false">
      <c r="A2" s="3" t="s">
        <v>374</v>
      </c>
    </row>
    <row r="3" customFormat="false" ht="15" hidden="false" customHeight="true" outlineLevel="0" collapsed="false">
      <c r="A3" s="3" t="s">
        <v>375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219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5" t="s">
        <v>376</v>
      </c>
      <c r="C7" s="32" t="s">
        <v>377</v>
      </c>
      <c r="D7" s="33" t="s">
        <v>378</v>
      </c>
      <c r="E7" s="39" t="n">
        <v>-115</v>
      </c>
      <c r="F7" s="40" t="n">
        <v>200</v>
      </c>
      <c r="G7" s="41" t="n">
        <f aca="false">IF(E7&gt;0,F7*E7/100,F7*100/ABS(E7))</f>
        <v>173.913043478261</v>
      </c>
      <c r="H7" s="41" t="n">
        <f aca="false">F7+G7</f>
        <v>373.913043478261</v>
      </c>
      <c r="I7" s="45" t="s">
        <v>98</v>
      </c>
      <c r="J7" s="41" t="n">
        <f aca="false">IF(I7="Win",F7+G7,IF(I7="Push",F7,IF(I7="Loss",0,0)))</f>
        <v>0</v>
      </c>
      <c r="K7" s="43" t="n">
        <f aca="false">IF(I7="Pending",0,J7-F7)</f>
        <v>-200</v>
      </c>
      <c r="L7" s="58" t="n">
        <v>0.56</v>
      </c>
      <c r="M7" s="62" t="s">
        <v>379</v>
      </c>
    </row>
    <row r="8" customFormat="false" ht="15" hidden="false" customHeight="true" outlineLevel="0" collapsed="false">
      <c r="A8" s="33" t="n">
        <v>2</v>
      </c>
      <c r="B8" s="5" t="s">
        <v>380</v>
      </c>
      <c r="C8" s="32" t="s">
        <v>381</v>
      </c>
      <c r="D8" s="33" t="s">
        <v>179</v>
      </c>
      <c r="E8" s="39" t="n">
        <v>-112</v>
      </c>
      <c r="F8" s="40" t="n">
        <v>150</v>
      </c>
      <c r="G8" s="41" t="n">
        <f aca="false">IF(E8&gt;0,F8*E8/100,F8*100/ABS(E8))</f>
        <v>133.928571428571</v>
      </c>
      <c r="H8" s="41" t="n">
        <f aca="false">F8+G8</f>
        <v>283.928571428571</v>
      </c>
      <c r="I8" s="45" t="s">
        <v>98</v>
      </c>
      <c r="J8" s="41" t="n">
        <f aca="false">IF(I8="Win",F8+G8,IF(I8="Push",F8,IF(I8="Loss",0,0)))</f>
        <v>0</v>
      </c>
      <c r="K8" s="43" t="n">
        <f aca="false">IF(I8="Pending",0,J8-F8)</f>
        <v>-150</v>
      </c>
      <c r="L8" s="58" t="n">
        <v>0.56</v>
      </c>
      <c r="M8" s="62" t="s">
        <v>382</v>
      </c>
    </row>
    <row r="9" customFormat="false" ht="15" hidden="false" customHeight="true" outlineLevel="0" collapsed="false">
      <c r="A9" s="33" t="n">
        <v>3</v>
      </c>
      <c r="B9" s="5" t="s">
        <v>383</v>
      </c>
      <c r="C9" s="32" t="s">
        <v>384</v>
      </c>
      <c r="D9" s="33" t="s">
        <v>94</v>
      </c>
      <c r="E9" s="39" t="n">
        <v>-159</v>
      </c>
      <c r="F9" s="40" t="n">
        <v>150</v>
      </c>
      <c r="G9" s="41" t="n">
        <f aca="false">IF(E9&gt;0,F9*E9/100,F9*100/ABS(E9))</f>
        <v>94.3396226415094</v>
      </c>
      <c r="H9" s="41" t="n">
        <f aca="false">F9+G9</f>
        <v>244.339622641509</v>
      </c>
      <c r="I9" s="42" t="s">
        <v>90</v>
      </c>
      <c r="J9" s="41" t="n">
        <f aca="false">IF(I9="Win",F9+G9,IF(I9="Push",F9,IF(I9="Loss",0,0)))</f>
        <v>244.339622641509</v>
      </c>
      <c r="K9" s="43" t="n">
        <f aca="false">IF(I9="Pending",0,J9-F9)</f>
        <v>94.3396226415094</v>
      </c>
      <c r="L9" s="58" t="n">
        <v>0.65</v>
      </c>
      <c r="M9" s="62" t="s">
        <v>385</v>
      </c>
    </row>
    <row r="10" customFormat="false" ht="15" hidden="false" customHeight="true" outlineLevel="0" collapsed="false">
      <c r="A10" s="33" t="n">
        <v>4</v>
      </c>
      <c r="B10" s="5" t="s">
        <v>386</v>
      </c>
      <c r="C10" s="32" t="s">
        <v>387</v>
      </c>
      <c r="D10" s="33" t="s">
        <v>378</v>
      </c>
      <c r="E10" s="39" t="n">
        <v>-108</v>
      </c>
      <c r="F10" s="40" t="n">
        <v>150</v>
      </c>
      <c r="G10" s="41" t="n">
        <f aca="false">IF(E10&gt;0,F10*E10/100,F10*100/ABS(E10))</f>
        <v>138.888888888889</v>
      </c>
      <c r="H10" s="41" t="n">
        <f aca="false">F10+G10</f>
        <v>288.888888888889</v>
      </c>
      <c r="I10" s="57" t="s">
        <v>98</v>
      </c>
      <c r="J10" s="41" t="n">
        <f aca="false">IF(I10="Win",F10+G10,IF(I10="Push",F10,IF(I10="Loss",0,0)))</f>
        <v>0</v>
      </c>
      <c r="K10" s="43" t="n">
        <f aca="false">IF(I10="Pending",0,J10-F10)</f>
        <v>-150</v>
      </c>
      <c r="L10" s="58" t="n">
        <v>0.55</v>
      </c>
      <c r="M10" s="62" t="s">
        <v>388</v>
      </c>
    </row>
    <row r="11" customFormat="false" ht="15" hidden="false" customHeight="true" outlineLevel="0" collapsed="false">
      <c r="A11" s="33" t="n">
        <v>5</v>
      </c>
      <c r="B11" s="5" t="s">
        <v>389</v>
      </c>
      <c r="C11" s="32" t="s">
        <v>390</v>
      </c>
      <c r="D11" s="33" t="s">
        <v>94</v>
      </c>
      <c r="E11" s="39" t="n">
        <v>-120</v>
      </c>
      <c r="F11" s="40" t="n">
        <v>130</v>
      </c>
      <c r="G11" s="41" t="n">
        <f aca="false">IF(E11&gt;0,F11*E11/100,F11*100/ABS(E11))</f>
        <v>108.333333333333</v>
      </c>
      <c r="H11" s="41" t="n">
        <f aca="false">F11+G11</f>
        <v>238.333333333333</v>
      </c>
      <c r="I11" s="57" t="s">
        <v>90</v>
      </c>
      <c r="J11" s="41" t="n">
        <f aca="false">IF(I11="Win",F11+G11,IF(I11="Push",F11,IF(I11="Loss",0,0)))</f>
        <v>238.333333333333</v>
      </c>
      <c r="K11" s="43" t="n">
        <f aca="false">IF(I11="Pending",0,J11-F11)</f>
        <v>108.333333333333</v>
      </c>
      <c r="L11" s="58" t="n">
        <v>0.6</v>
      </c>
      <c r="M11" s="62" t="s">
        <v>391</v>
      </c>
    </row>
    <row r="12" customFormat="false" ht="15" hidden="false" customHeight="true" outlineLevel="0" collapsed="false">
      <c r="A12" s="33" t="n">
        <v>6</v>
      </c>
      <c r="B12" s="5" t="s">
        <v>392</v>
      </c>
      <c r="C12" s="32" t="s">
        <v>393</v>
      </c>
      <c r="D12" s="33" t="s">
        <v>94</v>
      </c>
      <c r="E12" s="39" t="n">
        <v>-121</v>
      </c>
      <c r="F12" s="40" t="n">
        <v>120</v>
      </c>
      <c r="G12" s="41" t="n">
        <f aca="false">IF(E12&gt;0,F12*E12/100,F12*100/ABS(E12))</f>
        <v>99.1735537190083</v>
      </c>
      <c r="H12" s="41" t="n">
        <f aca="false">F12+G12</f>
        <v>219.173553719008</v>
      </c>
      <c r="I12" s="57" t="s">
        <v>90</v>
      </c>
      <c r="J12" s="41" t="n">
        <f aca="false">IF(I12="Win",F12+G12,IF(I12="Push",F12,IF(I12="Loss",0,0)))</f>
        <v>219.173553719008</v>
      </c>
      <c r="K12" s="43" t="n">
        <f aca="false">IF(I12="Pending",0,J12-F12)</f>
        <v>99.1735537190083</v>
      </c>
      <c r="L12" s="58" t="n">
        <v>0.58</v>
      </c>
      <c r="M12" s="62" t="s">
        <v>394</v>
      </c>
    </row>
    <row r="13" customFormat="false" ht="15" hidden="false" customHeight="true" outlineLevel="0" collapsed="false">
      <c r="A13" s="33" t="n">
        <v>7</v>
      </c>
      <c r="B13" s="5" t="s">
        <v>395</v>
      </c>
      <c r="C13" s="32" t="s">
        <v>396</v>
      </c>
      <c r="D13" s="33" t="s">
        <v>117</v>
      </c>
      <c r="E13" s="39" t="n">
        <v>971</v>
      </c>
      <c r="F13" s="40" t="n">
        <v>100</v>
      </c>
      <c r="G13" s="41" t="n">
        <f aca="false">IF(E13&gt;0,F13*E13/100,F13*100/ABS(E13))</f>
        <v>971</v>
      </c>
      <c r="H13" s="41" t="n">
        <f aca="false">F13+G13</f>
        <v>1071</v>
      </c>
      <c r="I13" s="45" t="s">
        <v>98</v>
      </c>
      <c r="J13" s="41" t="n">
        <f aca="false">IF(I13="Win",F13+G13,IF(I13="Push",F13,IF(I13="Loss",0,0)))</f>
        <v>0</v>
      </c>
      <c r="K13" s="43" t="n">
        <f aca="false">IF(I13="Pending",0,J13-F13)</f>
        <v>-100</v>
      </c>
      <c r="L13" s="58" t="n">
        <v>0.12</v>
      </c>
      <c r="M13" s="62" t="s">
        <v>397</v>
      </c>
    </row>
    <row r="14" customFormat="false" ht="15" hidden="false" customHeight="true" outlineLevel="0" collapsed="false">
      <c r="A14" s="63"/>
      <c r="B14" s="64" t="s">
        <v>39</v>
      </c>
      <c r="C14" s="63"/>
      <c r="D14" s="63"/>
      <c r="E14" s="63"/>
      <c r="F14" s="48" t="n">
        <f aca="false">SUM(F7:F13)</f>
        <v>1000</v>
      </c>
      <c r="G14" s="49" t="n">
        <f aca="false">SUM(G7:G13)</f>
        <v>1719.57701348957</v>
      </c>
      <c r="H14" s="49" t="n">
        <f aca="false">SUM(H7:H13)</f>
        <v>2719.57701348957</v>
      </c>
      <c r="I14" s="63"/>
      <c r="J14" s="49" t="n">
        <f aca="false">SUM(J7:J13)</f>
        <v>701.846509693851</v>
      </c>
      <c r="K14" s="50" t="n">
        <f aca="false">SUM(K7:K13)</f>
        <v>-298.153490306149</v>
      </c>
      <c r="L14" s="59" t="n">
        <f aca="false">SUM(L7:L13)</f>
        <v>3.62</v>
      </c>
      <c r="M14" s="63"/>
    </row>
    <row r="16" customFormat="false" ht="15" hidden="false" customHeight="true" outlineLevel="0" collapsed="false">
      <c r="B16" s="4" t="s">
        <v>119</v>
      </c>
    </row>
    <row r="17" customFormat="false" ht="15" hidden="false" customHeight="true" outlineLevel="0" collapsed="false">
      <c r="B17" s="5" t="s">
        <v>120</v>
      </c>
      <c r="C17" s="51" t="n">
        <f aca="false">COUNTIF(I7:I13,"Win")</f>
        <v>3</v>
      </c>
    </row>
    <row r="18" customFormat="false" ht="15" hidden="false" customHeight="true" outlineLevel="0" collapsed="false">
      <c r="B18" s="5" t="s">
        <v>121</v>
      </c>
      <c r="C18" s="51" t="n">
        <f aca="false">COUNTIF(I7:I13,"Loss")</f>
        <v>4</v>
      </c>
    </row>
    <row r="19" customFormat="false" ht="15" hidden="false" customHeight="true" outlineLevel="0" collapsed="false">
      <c r="B19" s="5" t="s">
        <v>122</v>
      </c>
      <c r="C19" s="51" t="n">
        <f aca="false">COUNTIF(I7:I13,"Push")</f>
        <v>0</v>
      </c>
    </row>
    <row r="20" customFormat="false" ht="15" hidden="false" customHeight="true" outlineLevel="0" collapsed="false">
      <c r="B20" s="5" t="s">
        <v>123</v>
      </c>
      <c r="C20" s="51" t="n">
        <f aca="false">COUNTIF(I7:I13,"Pending")</f>
        <v>0</v>
      </c>
    </row>
    <row r="21" customFormat="false" ht="15" hidden="false" customHeight="true" outlineLevel="0" collapsed="false">
      <c r="B21" s="5" t="s">
        <v>124</v>
      </c>
      <c r="C21" s="52" t="n">
        <f aca="false">IF(COUNTIF(I7:I13,"Win")+COUNTIF(I7:I13,"Loss")=0,"—",COUNTIF(I7:I13,"Win")/(COUNTIF(I7:I13,"Win")+COUNTIF(I7:I13,"Loss")))</f>
        <v>0.428571428571429</v>
      </c>
    </row>
    <row r="22" customFormat="false" ht="15" hidden="false" customHeight="true" outlineLevel="0" collapsed="false">
      <c r="B22" s="5" t="s">
        <v>125</v>
      </c>
      <c r="C22" s="34" t="n">
        <f aca="false">SUM(F7:F13)</f>
        <v>1000</v>
      </c>
    </row>
    <row r="23" customFormat="false" ht="15" hidden="false" customHeight="true" outlineLevel="0" collapsed="false">
      <c r="B23" s="5" t="s">
        <v>126</v>
      </c>
      <c r="C23" s="41" t="n">
        <f aca="false">SUM(J7:J13)</f>
        <v>701.846509693851</v>
      </c>
    </row>
    <row r="24" customFormat="false" ht="15" hidden="false" customHeight="true" outlineLevel="0" collapsed="false">
      <c r="B24" s="5" t="s">
        <v>127</v>
      </c>
      <c r="C24" s="43" t="n">
        <f aca="false">SUM(K7:K13)</f>
        <v>-298.153490306149</v>
      </c>
    </row>
    <row r="25" customFormat="false" ht="15" hidden="false" customHeight="true" outlineLevel="0" collapsed="false">
      <c r="B25" s="5" t="s">
        <v>128</v>
      </c>
      <c r="C25" s="52" t="n">
        <f aca="false">IF(SUM(F7:F13)=0,"—",SUM(K7:K13)/SUM(F7:F13))</f>
        <v>-0.298153490306149</v>
      </c>
    </row>
    <row r="26" customFormat="false" ht="15" hidden="false" customHeight="true" outlineLevel="0" collapsed="false">
      <c r="B26" s="5" t="s">
        <v>129</v>
      </c>
      <c r="C26" s="41" t="n">
        <f aca="false">SUM(H7:H13)</f>
        <v>2719.57701348957</v>
      </c>
    </row>
    <row r="27" customFormat="false" ht="15" hidden="false" customHeight="true" outlineLevel="0" collapsed="false">
      <c r="B27" s="5" t="s">
        <v>245</v>
      </c>
      <c r="C27" s="60" t="n">
        <f aca="false">SUM(L7:L13)</f>
        <v>3.62</v>
      </c>
    </row>
    <row r="28" customFormat="false" ht="15" hidden="false" customHeight="true" outlineLevel="0" collapsed="false">
      <c r="B28" s="5" t="s">
        <v>246</v>
      </c>
      <c r="C28" s="43" t="n">
        <f aca="false">SUMPRODUCT(L7:L13,G7:G13)-SUMPRODUCT(1-L7:L13,F7:F13)</f>
        <v>84.7416091107209</v>
      </c>
    </row>
    <row r="30" customFormat="false" ht="15" hidden="false" customHeight="true" outlineLevel="0" collapsed="false">
      <c r="A30" s="55" t="s">
        <v>398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4:C25">
    <cfRule type="expression" priority="4" aboveAverage="0" equalAverage="0" bottom="0" percent="0" rank="0" text="" dxfId="0">
      <formula>AND(ISNUMBER(C24),C24&gt;0)</formula>
    </cfRule>
    <cfRule type="expression" priority="5" aboveAverage="0" equalAverage="0" bottom="0" percent="0" rank="0" text="" dxfId="1">
      <formula>AND(ISNUMBER(C24),C24&lt;0)</formula>
    </cfRule>
  </conditionalFormatting>
  <dataValidations count="1">
    <dataValidation allowBlank="false" errorStyle="stop" operator="between" showDropDown="false" showErrorMessage="false" showInputMessage="false" sqref="I7:I13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3D"/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1" min="9" style="1" width="11"/>
    <col collapsed="false" customWidth="true" hidden="false" outlineLevel="0" max="12" min="12" style="1" width="10"/>
    <col collapsed="false" customWidth="true" hidden="false" outlineLevel="0" max="13" min="13" style="1" width="50"/>
  </cols>
  <sheetData>
    <row r="1" customFormat="false" ht="15.75" hidden="false" customHeight="true" outlineLevel="0" collapsed="false">
      <c r="A1" s="35" t="s">
        <v>399</v>
      </c>
      <c r="H1" s="56" t="s">
        <v>400</v>
      </c>
    </row>
    <row r="2" customFormat="false" ht="15" hidden="false" customHeight="true" outlineLevel="0" collapsed="false">
      <c r="A2" s="3" t="s">
        <v>401</v>
      </c>
    </row>
    <row r="3" customFormat="false" ht="15" hidden="false" customHeight="true" outlineLevel="0" collapsed="false">
      <c r="A3" s="3" t="s">
        <v>402</v>
      </c>
    </row>
    <row r="5" customFormat="false" ht="15" hidden="false" customHeight="true" outlineLevel="0" collapsed="false">
      <c r="A5" s="4" t="s">
        <v>76</v>
      </c>
    </row>
    <row r="6" customFormat="false" ht="24" hidden="false" customHeight="true" outlineLevel="0" collapsed="false">
      <c r="A6" s="12" t="s">
        <v>12</v>
      </c>
      <c r="B6" s="12" t="s">
        <v>77</v>
      </c>
      <c r="C6" s="12" t="s">
        <v>200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5" t="s">
        <v>403</v>
      </c>
      <c r="C7" s="32" t="s">
        <v>287</v>
      </c>
      <c r="D7" s="33" t="s">
        <v>190</v>
      </c>
      <c r="E7" s="39" t="n">
        <v>450</v>
      </c>
      <c r="F7" s="40" t="n">
        <v>200</v>
      </c>
      <c r="G7" s="41" t="n">
        <f aca="false">IF(E7&gt;0,F7*E7/100,F7*100/ABS(E7))</f>
        <v>900</v>
      </c>
      <c r="H7" s="41" t="n">
        <f aca="false">F7+G7</f>
        <v>1100</v>
      </c>
      <c r="I7" s="57" t="s">
        <v>123</v>
      </c>
      <c r="J7" s="41" t="n">
        <f aca="false">IF(I7="Win",F7+G7,IF(I7="Push",F7,IF(I7="Loss",0,0)))</f>
        <v>0</v>
      </c>
      <c r="K7" s="43" t="n">
        <f aca="false">IF(I7="Pending",0,J7-F7)</f>
        <v>0</v>
      </c>
      <c r="L7" s="73" t="n">
        <v>0.18</v>
      </c>
      <c r="M7" s="62" t="s">
        <v>404</v>
      </c>
    </row>
    <row r="8" customFormat="false" ht="15" hidden="false" customHeight="true" outlineLevel="0" collapsed="false">
      <c r="A8" s="33" t="n">
        <v>2</v>
      </c>
      <c r="B8" s="5" t="s">
        <v>405</v>
      </c>
      <c r="C8" s="32" t="s">
        <v>287</v>
      </c>
      <c r="D8" s="33" t="s">
        <v>190</v>
      </c>
      <c r="E8" s="39" t="n">
        <v>1600</v>
      </c>
      <c r="F8" s="40" t="n">
        <v>100</v>
      </c>
      <c r="G8" s="41" t="n">
        <f aca="false">IF(E8&gt;0,F8*E8/100,F8*100/ABS(E8))</f>
        <v>1600</v>
      </c>
      <c r="H8" s="41" t="n">
        <f aca="false">F8+G8</f>
        <v>1700</v>
      </c>
      <c r="I8" s="57" t="s">
        <v>123</v>
      </c>
      <c r="J8" s="41" t="n">
        <f aca="false">IF(I8="Win",F8+G8,IF(I8="Push",F8,IF(I8="Loss",0,0)))</f>
        <v>0</v>
      </c>
      <c r="K8" s="43" t="n">
        <f aca="false">IF(I8="Pending",0,J8-F8)</f>
        <v>0</v>
      </c>
      <c r="L8" s="73" t="n">
        <v>0.07</v>
      </c>
      <c r="M8" s="62" t="s">
        <v>406</v>
      </c>
    </row>
    <row r="9" customFormat="false" ht="15" hidden="false" customHeight="true" outlineLevel="0" collapsed="false">
      <c r="A9" s="33" t="n">
        <v>3</v>
      </c>
      <c r="B9" s="5" t="s">
        <v>407</v>
      </c>
      <c r="C9" s="32" t="s">
        <v>287</v>
      </c>
      <c r="D9" s="33" t="s">
        <v>190</v>
      </c>
      <c r="E9" s="39" t="n">
        <v>1600</v>
      </c>
      <c r="F9" s="40" t="n">
        <v>100</v>
      </c>
      <c r="G9" s="41" t="n">
        <f aca="false">IF(E9&gt;0,F9*E9/100,F9*100/ABS(E9))</f>
        <v>1600</v>
      </c>
      <c r="H9" s="41" t="n">
        <f aca="false">F9+G9</f>
        <v>1700</v>
      </c>
      <c r="I9" s="57" t="s">
        <v>123</v>
      </c>
      <c r="J9" s="41" t="n">
        <f aca="false">IF(I9="Win",F9+G9,IF(I9="Push",F9,IF(I9="Loss",0,0)))</f>
        <v>0</v>
      </c>
      <c r="K9" s="43" t="n">
        <f aca="false">IF(I9="Pending",0,J9-F9)</f>
        <v>0</v>
      </c>
      <c r="L9" s="73" t="n">
        <v>0.07</v>
      </c>
      <c r="M9" s="62" t="s">
        <v>408</v>
      </c>
    </row>
    <row r="10" customFormat="false" ht="15" hidden="false" customHeight="true" outlineLevel="0" collapsed="false">
      <c r="A10" s="33" t="n">
        <v>4</v>
      </c>
      <c r="B10" s="5" t="s">
        <v>409</v>
      </c>
      <c r="C10" s="32" t="s">
        <v>287</v>
      </c>
      <c r="D10" s="33" t="s">
        <v>190</v>
      </c>
      <c r="E10" s="39" t="n">
        <v>2000</v>
      </c>
      <c r="F10" s="40" t="n">
        <v>80</v>
      </c>
      <c r="G10" s="41" t="n">
        <f aca="false">IF(E10&gt;0,F10*E10/100,F10*100/ABS(E10))</f>
        <v>1600</v>
      </c>
      <c r="H10" s="41" t="n">
        <f aca="false">F10+G10</f>
        <v>1680</v>
      </c>
      <c r="I10" s="57" t="s">
        <v>123</v>
      </c>
      <c r="J10" s="41" t="n">
        <f aca="false">IF(I10="Win",F10+G10,IF(I10="Push",F10,IF(I10="Loss",0,0)))</f>
        <v>0</v>
      </c>
      <c r="K10" s="43" t="n">
        <f aca="false">IF(I10="Pending",0,J10-F10)</f>
        <v>0</v>
      </c>
      <c r="L10" s="73" t="n">
        <v>0.055</v>
      </c>
      <c r="M10" s="62" t="s">
        <v>410</v>
      </c>
    </row>
    <row r="11" customFormat="false" ht="15" hidden="false" customHeight="true" outlineLevel="0" collapsed="false">
      <c r="A11" s="33" t="n">
        <v>5</v>
      </c>
      <c r="B11" s="5" t="s">
        <v>411</v>
      </c>
      <c r="C11" s="32" t="s">
        <v>287</v>
      </c>
      <c r="D11" s="33" t="s">
        <v>190</v>
      </c>
      <c r="E11" s="39" t="n">
        <v>2800</v>
      </c>
      <c r="F11" s="40" t="n">
        <v>70</v>
      </c>
      <c r="G11" s="41" t="n">
        <f aca="false">IF(E11&gt;0,F11*E11/100,F11*100/ABS(E11))</f>
        <v>1960</v>
      </c>
      <c r="H11" s="41" t="n">
        <f aca="false">F11+G11</f>
        <v>2030</v>
      </c>
      <c r="I11" s="57" t="s">
        <v>123</v>
      </c>
      <c r="J11" s="41" t="n">
        <f aca="false">IF(I11="Win",F11+G11,IF(I11="Push",F11,IF(I11="Loss",0,0)))</f>
        <v>0</v>
      </c>
      <c r="K11" s="43" t="n">
        <f aca="false">IF(I11="Pending",0,J11-F11)</f>
        <v>0</v>
      </c>
      <c r="L11" s="73" t="n">
        <v>0.045</v>
      </c>
      <c r="M11" s="62" t="s">
        <v>412</v>
      </c>
    </row>
    <row r="12" customFormat="false" ht="15" hidden="false" customHeight="true" outlineLevel="0" collapsed="false">
      <c r="A12" s="33" t="n">
        <v>6</v>
      </c>
      <c r="B12" s="5" t="s">
        <v>413</v>
      </c>
      <c r="C12" s="32" t="s">
        <v>287</v>
      </c>
      <c r="D12" s="33" t="s">
        <v>190</v>
      </c>
      <c r="E12" s="39" t="n">
        <v>5000</v>
      </c>
      <c r="F12" s="40" t="n">
        <v>50</v>
      </c>
      <c r="G12" s="41" t="n">
        <f aca="false">IF(E12&gt;0,F12*E12/100,F12*100/ABS(E12))</f>
        <v>2500</v>
      </c>
      <c r="H12" s="41" t="n">
        <f aca="false">F12+G12</f>
        <v>2550</v>
      </c>
      <c r="I12" s="57" t="s">
        <v>123</v>
      </c>
      <c r="J12" s="41" t="n">
        <f aca="false">IF(I12="Win",F12+G12,IF(I12="Push",F12,IF(I12="Loss",0,0)))</f>
        <v>0</v>
      </c>
      <c r="K12" s="43" t="n">
        <f aca="false">IF(I12="Pending",0,J12-F12)</f>
        <v>0</v>
      </c>
      <c r="L12" s="73" t="n">
        <v>0.025</v>
      </c>
      <c r="M12" s="62" t="s">
        <v>414</v>
      </c>
    </row>
    <row r="13" customFormat="false" ht="15" hidden="false" customHeight="true" outlineLevel="0" collapsed="false">
      <c r="A13" s="24" t="n">
        <v>7</v>
      </c>
      <c r="B13" s="25" t="s">
        <v>415</v>
      </c>
      <c r="C13" s="74" t="s">
        <v>416</v>
      </c>
      <c r="D13" s="24" t="s">
        <v>94</v>
      </c>
      <c r="E13" s="75" t="n">
        <v>-146</v>
      </c>
      <c r="F13" s="76" t="n">
        <v>120</v>
      </c>
      <c r="G13" s="27" t="n">
        <f aca="false">IF(E13&gt;0,F13*E13/100,F13*100/ABS(E13))</f>
        <v>82.1917808219178</v>
      </c>
      <c r="H13" s="27" t="n">
        <f aca="false">F13+G13</f>
        <v>202.191780821918</v>
      </c>
      <c r="I13" s="57" t="s">
        <v>123</v>
      </c>
      <c r="J13" s="27" t="n">
        <f aca="false">IF(I13="Win",F13+G13,IF(I13="Push",F13,IF(I13="Loss",0,0)))</f>
        <v>0</v>
      </c>
      <c r="K13" s="77" t="n">
        <f aca="false">IF(I13="Pending",0,J13-F13)</f>
        <v>0</v>
      </c>
      <c r="L13" s="78" t="n">
        <v>0.62</v>
      </c>
      <c r="M13" s="79" t="s">
        <v>417</v>
      </c>
    </row>
    <row r="14" customFormat="false" ht="15" hidden="false" customHeight="true" outlineLevel="0" collapsed="false">
      <c r="A14" s="33" t="n">
        <v>8</v>
      </c>
      <c r="B14" s="5" t="s">
        <v>418</v>
      </c>
      <c r="C14" s="32" t="s">
        <v>416</v>
      </c>
      <c r="D14" s="33" t="s">
        <v>94</v>
      </c>
      <c r="E14" s="39" t="n">
        <v>158</v>
      </c>
      <c r="F14" s="40" t="n">
        <v>90</v>
      </c>
      <c r="G14" s="41" t="n">
        <f aca="false">IF(E14&gt;0,F14*E14/100,F14*100/ABS(E14))</f>
        <v>142.2</v>
      </c>
      <c r="H14" s="41" t="n">
        <f aca="false">F14+G14</f>
        <v>232.2</v>
      </c>
      <c r="I14" s="57" t="s">
        <v>123</v>
      </c>
      <c r="J14" s="41" t="n">
        <f aca="false">IF(I14="Win",F14+G14,IF(I14="Push",F14,IF(I14="Loss",0,0)))</f>
        <v>0</v>
      </c>
      <c r="K14" s="43" t="n">
        <f aca="false">IF(I14="Pending",0,J14-F14)</f>
        <v>0</v>
      </c>
      <c r="L14" s="73" t="n">
        <v>0.44</v>
      </c>
      <c r="M14" s="62" t="s">
        <v>419</v>
      </c>
    </row>
    <row r="15" customFormat="false" ht="15" hidden="false" customHeight="true" outlineLevel="0" collapsed="false">
      <c r="A15" s="33" t="n">
        <v>9</v>
      </c>
      <c r="B15" s="5" t="s">
        <v>420</v>
      </c>
      <c r="C15" s="32" t="s">
        <v>416</v>
      </c>
      <c r="D15" s="33" t="s">
        <v>94</v>
      </c>
      <c r="E15" s="39" t="n">
        <v>172</v>
      </c>
      <c r="F15" s="40" t="n">
        <v>80</v>
      </c>
      <c r="G15" s="41" t="n">
        <f aca="false">IF(E15&gt;0,F15*E15/100,F15*100/ABS(E15))</f>
        <v>137.6</v>
      </c>
      <c r="H15" s="41" t="n">
        <f aca="false">F15+G15</f>
        <v>217.6</v>
      </c>
      <c r="I15" s="57" t="s">
        <v>123</v>
      </c>
      <c r="J15" s="41" t="n">
        <f aca="false">IF(I15="Win",F15+G15,IF(I15="Push",F15,IF(I15="Loss",0,0)))</f>
        <v>0</v>
      </c>
      <c r="K15" s="43" t="n">
        <f aca="false">IF(I15="Pending",0,J15-F15)</f>
        <v>0</v>
      </c>
      <c r="L15" s="73" t="n">
        <v>0.42</v>
      </c>
      <c r="M15" s="62" t="s">
        <v>421</v>
      </c>
    </row>
    <row r="16" customFormat="false" ht="15" hidden="false" customHeight="true" outlineLevel="0" collapsed="false">
      <c r="A16" s="33" t="n">
        <v>10</v>
      </c>
      <c r="B16" s="5" t="s">
        <v>422</v>
      </c>
      <c r="C16" s="32" t="s">
        <v>416</v>
      </c>
      <c r="D16" s="33" t="s">
        <v>94</v>
      </c>
      <c r="E16" s="39" t="n">
        <v>164</v>
      </c>
      <c r="F16" s="40" t="n">
        <v>70</v>
      </c>
      <c r="G16" s="41" t="n">
        <f aca="false">IF(E16&gt;0,F16*E16/100,F16*100/ABS(E16))</f>
        <v>114.8</v>
      </c>
      <c r="H16" s="41" t="n">
        <f aca="false">F16+G16</f>
        <v>184.8</v>
      </c>
      <c r="I16" s="57" t="s">
        <v>123</v>
      </c>
      <c r="J16" s="41" t="n">
        <f aca="false">IF(I16="Win",F16+G16,IF(I16="Push",F16,IF(I16="Loss",0,0)))</f>
        <v>0</v>
      </c>
      <c r="K16" s="43" t="n">
        <f aca="false">IF(I16="Pending",0,J16-F16)</f>
        <v>0</v>
      </c>
      <c r="L16" s="73" t="n">
        <v>0.42</v>
      </c>
      <c r="M16" s="62" t="s">
        <v>423</v>
      </c>
    </row>
    <row r="17" customFormat="false" ht="15" hidden="false" customHeight="true" outlineLevel="0" collapsed="false">
      <c r="A17" s="33" t="n">
        <v>11</v>
      </c>
      <c r="B17" s="5" t="s">
        <v>424</v>
      </c>
      <c r="C17" s="80" t="s">
        <v>416</v>
      </c>
      <c r="D17" s="33" t="s">
        <v>94</v>
      </c>
      <c r="E17" s="39" t="n">
        <v>280</v>
      </c>
      <c r="F17" s="40" t="n">
        <v>40</v>
      </c>
      <c r="G17" s="41" t="n">
        <f aca="false">IF(E17&gt;0,F17*E17/100,F17*100/ABS(E17))</f>
        <v>112</v>
      </c>
      <c r="H17" s="41" t="n">
        <f aca="false">F17+G17</f>
        <v>152</v>
      </c>
      <c r="I17" s="57" t="s">
        <v>123</v>
      </c>
      <c r="J17" s="41" t="n">
        <f aca="false">IF(I17="Win",F17+G17,IF(I17="Push",F17,IF(I17="Loss",0,0)))</f>
        <v>0</v>
      </c>
      <c r="K17" s="43" t="n">
        <f aca="false">IF(I17="Pending",0,J17-F17)</f>
        <v>0</v>
      </c>
      <c r="L17" s="73" t="n">
        <v>0.3</v>
      </c>
      <c r="M17" s="62" t="s">
        <v>425</v>
      </c>
    </row>
    <row r="18" customFormat="false" ht="15" hidden="false" customHeight="true" outlineLevel="0" collapsed="false">
      <c r="B18" s="81" t="s">
        <v>426</v>
      </c>
      <c r="C18" s="51" t="n">
        <f aca="false">COUNTIF(I7:I12,"Loss")</f>
        <v>0</v>
      </c>
      <c r="F18" s="8" t="n">
        <f aca="false">SUM(F7:F17)</f>
        <v>1000</v>
      </c>
      <c r="G18" s="8" t="n">
        <f aca="false">SUM(G7:G17)</f>
        <v>10748.7917808219</v>
      </c>
      <c r="H18" s="8" t="n">
        <f aca="false">SUM(H7:H17)</f>
        <v>11748.7917808219</v>
      </c>
      <c r="J18" s="8" t="n">
        <f aca="false">SUM(J7:J17)</f>
        <v>0</v>
      </c>
      <c r="K18" s="8" t="n">
        <f aca="false">SUM(K7:K17)</f>
        <v>0</v>
      </c>
      <c r="L18" s="82" t="n">
        <f aca="false">SUM(L7:L17)</f>
        <v>2.645</v>
      </c>
    </row>
    <row r="19" customFormat="false" ht="15" hidden="false" customHeight="true" outlineLevel="0" collapsed="false">
      <c r="B19" s="5" t="s">
        <v>123</v>
      </c>
      <c r="C19" s="51" t="n">
        <f aca="false">COUNTIF(I7:I12,"Pending")</f>
        <v>6</v>
      </c>
    </row>
    <row r="20" customFormat="false" ht="15" hidden="false" customHeight="true" outlineLevel="0" collapsed="false">
      <c r="B20" s="5" t="s">
        <v>124</v>
      </c>
      <c r="C20" s="52" t="str">
        <f aca="false">IF(COUNTIF(I7:I12,"Win")+COUNTIF(I7:I12,"Loss")=0,"—",COUNTIF(I7:I12,"Win")/(COUNTIF(I7:I12,"Win")+COUNTIF(I7:I12,"Loss")))</f>
        <v>—</v>
      </c>
    </row>
    <row r="21" customFormat="false" ht="15" hidden="false" customHeight="true" outlineLevel="0" collapsed="false">
      <c r="B21" s="5" t="s">
        <v>427</v>
      </c>
      <c r="C21" s="34" t="n">
        <f aca="false">SUM(F7:F12)</f>
        <v>600</v>
      </c>
    </row>
    <row r="22" customFormat="false" ht="15" hidden="false" customHeight="true" outlineLevel="0" collapsed="false">
      <c r="B22" s="5" t="s">
        <v>126</v>
      </c>
      <c r="C22" s="41" t="n">
        <f aca="false">SUM(J7:J12)</f>
        <v>0</v>
      </c>
    </row>
    <row r="23" customFormat="false" ht="15" hidden="false" customHeight="true" outlineLevel="0" collapsed="false">
      <c r="B23" s="5" t="s">
        <v>127</v>
      </c>
      <c r="C23" s="43" t="n">
        <f aca="false">SUM(K7:K12)</f>
        <v>0</v>
      </c>
    </row>
    <row r="24" customFormat="false" ht="15" hidden="false" customHeight="true" outlineLevel="0" collapsed="false">
      <c r="B24" s="5" t="s">
        <v>428</v>
      </c>
      <c r="C24" s="52" t="n">
        <f aca="false">SUM(L7:L12)</f>
        <v>0.445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conditionalFormatting sqref="C23">
    <cfRule type="expression" priority="4" aboveAverage="0" equalAverage="0" bottom="0" percent="0" rank="0" text="" dxfId="0">
      <formula>AND(ISNUMBER(C23),C23&gt;0)</formula>
    </cfRule>
    <cfRule type="expression" priority="5" aboveAverage="0" equalAverage="0" bottom="0" percent="0" rank="0" text="" dxfId="1">
      <formula>AND(ISNUMBER(C23),C23&lt;0)</formula>
    </cfRule>
  </conditionalFormatting>
  <conditionalFormatting sqref="K7:K18">
    <cfRule type="expression" priority="6" aboveAverage="0" equalAverage="0" bottom="0" percent="0" rank="0" text="" dxfId="0">
      <formula>AND(ISNUMBER(K7),K7&gt;0)</formula>
    </cfRule>
    <cfRule type="expression" priority="7" aboveAverage="0" equalAverage="0" bottom="0" percent="0" rank="0" text="" dxfId="1">
      <formula>AND(ISNUMBER(K7),K7&lt;0)</formula>
    </cfRule>
  </conditionalFormatting>
  <dataValidations count="2">
    <dataValidation allowBlank="false" errorStyle="stop" operator="between" showDropDown="false" showErrorMessage="false" showInputMessage="false" sqref="I7:I12" type="list">
      <formula1>"Pending,Win,Loss,Push"</formula1>
      <formula2>0</formula2>
    </dataValidation>
    <dataValidation allowBlank="false" errorStyle="stop" operator="between" showDropDown="false" showErrorMessage="false" showInputMessage="false" sqref="I13:I17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1" min="10" style="1" width="11"/>
    <col collapsed="false" customWidth="true" hidden="false" outlineLevel="0" max="12" min="12" style="1" width="10"/>
    <col collapsed="false" customWidth="true" hidden="false" outlineLevel="0" max="13" min="13" style="1" width="46"/>
  </cols>
  <sheetData>
    <row r="1" customFormat="false" ht="15.75" hidden="false" customHeight="true" outlineLevel="0" collapsed="false">
      <c r="A1" s="35" t="s">
        <v>429</v>
      </c>
      <c r="H1" s="83" t="s">
        <v>430</v>
      </c>
    </row>
    <row r="2" customFormat="false" ht="15" hidden="false" customHeight="true" outlineLevel="0" collapsed="false">
      <c r="A2" s="3" t="s">
        <v>431</v>
      </c>
    </row>
    <row r="3" customFormat="false" ht="15" hidden="false" customHeight="true" outlineLevel="0" collapsed="false">
      <c r="A3" s="3" t="s">
        <v>432</v>
      </c>
    </row>
    <row r="5" customFormat="false" ht="15" hidden="false" customHeight="true" outlineLevel="0" collapsed="false">
      <c r="A5" s="4" t="s">
        <v>76</v>
      </c>
    </row>
    <row r="6" customFormat="false" ht="23.25" hidden="false" customHeight="true" outlineLevel="0" collapsed="false">
      <c r="A6" s="12" t="s">
        <v>12</v>
      </c>
      <c r="B6" s="12" t="s">
        <v>77</v>
      </c>
      <c r="C6" s="12" t="s">
        <v>200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5" t="s">
        <v>433</v>
      </c>
      <c r="C7" s="32" t="s">
        <v>287</v>
      </c>
      <c r="D7" s="33" t="s">
        <v>190</v>
      </c>
      <c r="E7" s="39" t="n">
        <v>310</v>
      </c>
      <c r="F7" s="40" t="n">
        <v>220</v>
      </c>
      <c r="G7" s="41" t="n">
        <f aca="false">IF(E7&gt;0,F7*E7/100,F7*100/ABS(E7))</f>
        <v>682</v>
      </c>
      <c r="H7" s="41" t="n">
        <f aca="false">F7+G7</f>
        <v>902</v>
      </c>
      <c r="I7" s="57" t="s">
        <v>98</v>
      </c>
      <c r="J7" s="41" t="n">
        <f aca="false">IF(I7="Win",F7+G7,IF(I7="Push",F7,IF(I7="Loss",0,0)))</f>
        <v>0</v>
      </c>
      <c r="K7" s="43" t="n">
        <f aca="false">IF(I7="Pending",0,J7-F7)</f>
        <v>-220</v>
      </c>
      <c r="L7" s="73" t="n">
        <v>0.27</v>
      </c>
      <c r="M7" s="62" t="s">
        <v>434</v>
      </c>
    </row>
    <row r="8" customFormat="false" ht="15" hidden="false" customHeight="true" outlineLevel="0" collapsed="false">
      <c r="A8" s="33" t="n">
        <v>2</v>
      </c>
      <c r="B8" s="5" t="s">
        <v>435</v>
      </c>
      <c r="C8" s="32" t="s">
        <v>287</v>
      </c>
      <c r="D8" s="33" t="s">
        <v>190</v>
      </c>
      <c r="E8" s="39" t="n">
        <v>425</v>
      </c>
      <c r="F8" s="40" t="n">
        <v>130</v>
      </c>
      <c r="G8" s="41" t="n">
        <f aca="false">IF(E8&gt;0,F8*E8/100,F8*100/ABS(E8))</f>
        <v>552.5</v>
      </c>
      <c r="H8" s="41" t="n">
        <f aca="false">F8+G8</f>
        <v>682.5</v>
      </c>
      <c r="I8" s="57" t="s">
        <v>98</v>
      </c>
      <c r="J8" s="41" t="n">
        <f aca="false">IF(I8="Win",F8+G8,IF(I8="Push",F8,IF(I8="Loss",0,0)))</f>
        <v>0</v>
      </c>
      <c r="K8" s="43" t="n">
        <f aca="false">IF(I8="Pending",0,J8-F8)</f>
        <v>-130</v>
      </c>
      <c r="L8" s="73" t="n">
        <v>0.18</v>
      </c>
      <c r="M8" s="62" t="s">
        <v>436</v>
      </c>
    </row>
    <row r="9" customFormat="false" ht="15" hidden="false" customHeight="true" outlineLevel="0" collapsed="false">
      <c r="A9" s="33" t="n">
        <v>3</v>
      </c>
      <c r="B9" s="5" t="s">
        <v>437</v>
      </c>
      <c r="C9" s="32" t="s">
        <v>438</v>
      </c>
      <c r="D9" s="33" t="s">
        <v>94</v>
      </c>
      <c r="E9" s="39" t="n">
        <v>-110</v>
      </c>
      <c r="F9" s="40" t="n">
        <v>180</v>
      </c>
      <c r="G9" s="41" t="n">
        <f aca="false">IF(E9&gt;0,F9*E9/100,F9*100/ABS(E9))</f>
        <v>163.636363636364</v>
      </c>
      <c r="H9" s="41" t="n">
        <f aca="false">F9+G9</f>
        <v>343.636363636364</v>
      </c>
      <c r="I9" s="57" t="s">
        <v>98</v>
      </c>
      <c r="J9" s="41" t="n">
        <f aca="false">IF(I9="Win",F9+G9,IF(I9="Push",F9,IF(I9="Loss",0,0)))</f>
        <v>0</v>
      </c>
      <c r="K9" s="43" t="n">
        <f aca="false">IF(I9="Pending",0,J9-F9)</f>
        <v>-180</v>
      </c>
      <c r="L9" s="73" t="n">
        <v>0.6</v>
      </c>
      <c r="M9" s="62" t="s">
        <v>439</v>
      </c>
    </row>
    <row r="10" customFormat="false" ht="15" hidden="false" customHeight="true" outlineLevel="0" collapsed="false">
      <c r="A10" s="33" t="n">
        <v>4</v>
      </c>
      <c r="B10" s="5" t="s">
        <v>440</v>
      </c>
      <c r="C10" s="32" t="s">
        <v>441</v>
      </c>
      <c r="D10" s="33" t="s">
        <v>94</v>
      </c>
      <c r="E10" s="39" t="n">
        <v>-110</v>
      </c>
      <c r="F10" s="40" t="n">
        <v>150</v>
      </c>
      <c r="G10" s="41" t="n">
        <f aca="false">IF(E10&gt;0,F10*E10/100,F10*100/ABS(E10))</f>
        <v>136.363636363636</v>
      </c>
      <c r="H10" s="41" t="n">
        <f aca="false">F10+G10</f>
        <v>286.363636363636</v>
      </c>
      <c r="I10" s="57" t="s">
        <v>90</v>
      </c>
      <c r="J10" s="41" t="n">
        <f aca="false">IF(I10="Win",F10+G10,IF(I10="Push",F10,IF(I10="Loss",0,0)))</f>
        <v>286.363636363636</v>
      </c>
      <c r="K10" s="43" t="n">
        <f aca="false">IF(I10="Pending",0,J10-F10)</f>
        <v>136.363636363636</v>
      </c>
      <c r="L10" s="73" t="n">
        <v>0.58</v>
      </c>
      <c r="M10" s="62" t="s">
        <v>442</v>
      </c>
    </row>
    <row r="11" customFormat="false" ht="15" hidden="false" customHeight="true" outlineLevel="0" collapsed="false">
      <c r="A11" s="33" t="n">
        <v>5</v>
      </c>
      <c r="B11" s="5" t="s">
        <v>443</v>
      </c>
      <c r="C11" s="32" t="s">
        <v>438</v>
      </c>
      <c r="D11" s="33" t="s">
        <v>94</v>
      </c>
      <c r="E11" s="39" t="n">
        <v>-110</v>
      </c>
      <c r="F11" s="40" t="n">
        <v>120</v>
      </c>
      <c r="G11" s="41" t="n">
        <f aca="false">IF(E11&gt;0,F11*E11/100,F11*100/ABS(E11))</f>
        <v>109.090909090909</v>
      </c>
      <c r="H11" s="41" t="n">
        <f aca="false">F11+G11</f>
        <v>229.090909090909</v>
      </c>
      <c r="I11" s="57" t="s">
        <v>98</v>
      </c>
      <c r="J11" s="41" t="n">
        <f aca="false">IF(I11="Win",F11+G11,IF(I11="Push",F11,IF(I11="Loss",0,0)))</f>
        <v>0</v>
      </c>
      <c r="K11" s="43" t="n">
        <f aca="false">IF(I11="Pending",0,J11-F11)</f>
        <v>-120</v>
      </c>
      <c r="L11" s="73" t="n">
        <v>0.57</v>
      </c>
      <c r="M11" s="62" t="s">
        <v>444</v>
      </c>
    </row>
    <row r="12" customFormat="false" ht="15" hidden="false" customHeight="true" outlineLevel="0" collapsed="false">
      <c r="A12" s="33" t="n">
        <v>6</v>
      </c>
      <c r="B12" s="5" t="s">
        <v>445</v>
      </c>
      <c r="C12" s="32" t="s">
        <v>446</v>
      </c>
      <c r="D12" s="33" t="s">
        <v>94</v>
      </c>
      <c r="E12" s="39" t="n">
        <v>-110</v>
      </c>
      <c r="F12" s="40" t="n">
        <v>125</v>
      </c>
      <c r="G12" s="41" t="n">
        <f aca="false">IF(E12&gt;0,F12*E12/100,F12*100/ABS(E12))</f>
        <v>113.636363636364</v>
      </c>
      <c r="H12" s="41" t="n">
        <f aca="false">F12+G12</f>
        <v>238.636363636364</v>
      </c>
      <c r="I12" s="57" t="s">
        <v>90</v>
      </c>
      <c r="J12" s="41" t="n">
        <f aca="false">IF(I12="Win",F12+G12,IF(I12="Push",F12,IF(I12="Loss",0,0)))</f>
        <v>238.636363636364</v>
      </c>
      <c r="K12" s="43" t="n">
        <f aca="false">IF(I12="Pending",0,J12-F12)</f>
        <v>113.636363636364</v>
      </c>
      <c r="L12" s="73" t="n">
        <v>0.56</v>
      </c>
      <c r="M12" s="62" t="s">
        <v>447</v>
      </c>
    </row>
    <row r="13" customFormat="false" ht="15" hidden="false" customHeight="true" outlineLevel="0" collapsed="false">
      <c r="A13" s="33" t="n">
        <v>7</v>
      </c>
      <c r="B13" s="5" t="s">
        <v>448</v>
      </c>
      <c r="C13" s="32" t="s">
        <v>287</v>
      </c>
      <c r="D13" s="33" t="s">
        <v>190</v>
      </c>
      <c r="E13" s="39" t="n">
        <v>1400</v>
      </c>
      <c r="F13" s="40" t="n">
        <v>75</v>
      </c>
      <c r="G13" s="41" t="n">
        <f aca="false">IF(E13&gt;0,F13*E13/100,F13*100/ABS(E13))</f>
        <v>1050</v>
      </c>
      <c r="H13" s="41" t="n">
        <f aca="false">F13+G13</f>
        <v>1125</v>
      </c>
      <c r="I13" s="57" t="s">
        <v>98</v>
      </c>
      <c r="J13" s="41" t="n">
        <f aca="false">IF(I13="Win",F13+G13,IF(I13="Push",F13,IF(I13="Loss",0,0)))</f>
        <v>0</v>
      </c>
      <c r="K13" s="43" t="n">
        <f aca="false">IF(I13="Pending",0,J13-F13)</f>
        <v>-75</v>
      </c>
      <c r="L13" s="73" t="n">
        <v>0.07</v>
      </c>
      <c r="M13" s="62" t="s">
        <v>449</v>
      </c>
    </row>
    <row r="14" customFormat="false" ht="15" hidden="false" customHeight="true" outlineLevel="0" collapsed="false">
      <c r="B14" s="4" t="s">
        <v>39</v>
      </c>
      <c r="F14" s="8" t="n">
        <f aca="false">SUM(F7:F13)</f>
        <v>1000</v>
      </c>
      <c r="G14" s="8" t="n">
        <f aca="false">SUM(G7:G13)</f>
        <v>2807.22727272727</v>
      </c>
      <c r="H14" s="8" t="n">
        <f aca="false">SUM(H7:H13)</f>
        <v>3807.22727272727</v>
      </c>
      <c r="J14" s="8" t="n">
        <f aca="false">SUM(J7:J13)</f>
        <v>525</v>
      </c>
      <c r="K14" s="8" t="n">
        <f aca="false">SUM(K7:K13)</f>
        <v>-475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dataValidations count="1">
    <dataValidation allowBlank="false" errorStyle="stop" operator="between" showDropDown="false" showErrorMessage="false" showInputMessage="false" sqref="I7:I13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B00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1" min="10" style="1" width="11"/>
    <col collapsed="false" customWidth="true" hidden="false" outlineLevel="0" max="12" min="12" style="1" width="10"/>
    <col collapsed="false" customWidth="true" hidden="false" outlineLevel="0" max="13" min="13" style="1" width="46"/>
  </cols>
  <sheetData>
    <row r="1" customFormat="false" ht="15.75" hidden="false" customHeight="true" outlineLevel="0" collapsed="false">
      <c r="A1" s="35" t="s">
        <v>450</v>
      </c>
      <c r="H1" s="84" t="s">
        <v>451</v>
      </c>
    </row>
    <row r="2" customFormat="false" ht="15" hidden="false" customHeight="true" outlineLevel="0" collapsed="false">
      <c r="A2" s="3" t="s">
        <v>452</v>
      </c>
    </row>
    <row r="3" customFormat="false" ht="15" hidden="false" customHeight="true" outlineLevel="0" collapsed="false">
      <c r="A3" s="3" t="s">
        <v>453</v>
      </c>
    </row>
    <row r="5" customFormat="false" ht="15" hidden="false" customHeight="true" outlineLevel="0" collapsed="false">
      <c r="A5" s="4" t="s">
        <v>76</v>
      </c>
    </row>
    <row r="6" customFormat="false" ht="23.25" hidden="false" customHeight="true" outlineLevel="0" collapsed="false">
      <c r="A6" s="12" t="s">
        <v>12</v>
      </c>
      <c r="B6" s="12" t="s">
        <v>77</v>
      </c>
      <c r="C6" s="12" t="s">
        <v>200</v>
      </c>
      <c r="D6" s="12" t="s">
        <v>79</v>
      </c>
      <c r="E6" s="12" t="s">
        <v>80</v>
      </c>
      <c r="F6" s="12" t="s">
        <v>44</v>
      </c>
      <c r="G6" s="12" t="s">
        <v>81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220</v>
      </c>
      <c r="M6" s="12" t="s">
        <v>86</v>
      </c>
    </row>
    <row r="7" customFormat="false" ht="15" hidden="false" customHeight="true" outlineLevel="0" collapsed="false">
      <c r="A7" s="33" t="n">
        <v>1</v>
      </c>
      <c r="B7" s="5" t="s">
        <v>454</v>
      </c>
      <c r="C7" s="32" t="s">
        <v>455</v>
      </c>
      <c r="D7" s="33" t="s">
        <v>378</v>
      </c>
      <c r="E7" s="39" t="n">
        <v>-105</v>
      </c>
      <c r="F7" s="40" t="n">
        <v>185</v>
      </c>
      <c r="G7" s="41" t="n">
        <f aca="false">IF(E7&gt;0,F7*E7/100,F7*100/ABS(E7))</f>
        <v>176.190476190476</v>
      </c>
      <c r="H7" s="41" t="n">
        <f aca="false">F7+G7</f>
        <v>361.190476190476</v>
      </c>
      <c r="I7" s="57" t="s">
        <v>98</v>
      </c>
      <c r="J7" s="41" t="n">
        <f aca="false">IF(I7="Win",F7+G7,IF(I7="Push",F7,IF(I7="Loss",0,0)))</f>
        <v>0</v>
      </c>
      <c r="K7" s="43" t="n">
        <f aca="false">IF(I7="Pending",0,J7-F7)</f>
        <v>-185</v>
      </c>
      <c r="L7" s="73" t="n">
        <v>0.57</v>
      </c>
      <c r="M7" s="62" t="s">
        <v>456</v>
      </c>
    </row>
    <row r="8" customFormat="false" ht="15" hidden="false" customHeight="true" outlineLevel="0" collapsed="false">
      <c r="A8" s="33" t="n">
        <v>2</v>
      </c>
      <c r="B8" s="5" t="s">
        <v>457</v>
      </c>
      <c r="C8" s="32" t="s">
        <v>458</v>
      </c>
      <c r="D8" s="33" t="s">
        <v>179</v>
      </c>
      <c r="E8" s="39" t="n">
        <v>-115</v>
      </c>
      <c r="F8" s="40" t="n">
        <v>175</v>
      </c>
      <c r="G8" s="41" t="n">
        <f aca="false">IF(E8&gt;0,F8*E8/100,F8*100/ABS(E8))</f>
        <v>152.173913043478</v>
      </c>
      <c r="H8" s="41" t="n">
        <f aca="false">F8+G8</f>
        <v>327.173913043478</v>
      </c>
      <c r="I8" s="57" t="s">
        <v>98</v>
      </c>
      <c r="J8" s="41" t="n">
        <f aca="false">IF(I8="Win",F8+G8,IF(I8="Push",F8,IF(I8="Loss",0,0)))</f>
        <v>0</v>
      </c>
      <c r="K8" s="43" t="n">
        <f aca="false">IF(I8="Pending",0,J8-F8)</f>
        <v>-175</v>
      </c>
      <c r="L8" s="73" t="n">
        <v>0.54</v>
      </c>
      <c r="M8" s="62" t="s">
        <v>459</v>
      </c>
    </row>
    <row r="9" customFormat="false" ht="15" hidden="false" customHeight="true" outlineLevel="0" collapsed="false">
      <c r="A9" s="33" t="n">
        <v>3</v>
      </c>
      <c r="B9" s="5" t="s">
        <v>460</v>
      </c>
      <c r="C9" s="32" t="s">
        <v>461</v>
      </c>
      <c r="D9" s="33" t="s">
        <v>179</v>
      </c>
      <c r="E9" s="39" t="n">
        <v>-110</v>
      </c>
      <c r="F9" s="40" t="n">
        <v>160</v>
      </c>
      <c r="G9" s="41" t="n">
        <f aca="false">IF(E9&gt;0,F9*E9/100,F9*100/ABS(E9))</f>
        <v>145.454545454545</v>
      </c>
      <c r="H9" s="41" t="n">
        <f aca="false">F9+G9</f>
        <v>305.454545454546</v>
      </c>
      <c r="I9" s="57" t="s">
        <v>90</v>
      </c>
      <c r="J9" s="41" t="n">
        <f aca="false">IF(I9="Win",F9+G9,IF(I9="Push",F9,IF(I9="Loss",0,0)))</f>
        <v>305.454545454546</v>
      </c>
      <c r="K9" s="43" t="n">
        <f aca="false">IF(I9="Pending",0,J9-F9)</f>
        <v>145.454545454546</v>
      </c>
      <c r="L9" s="73" t="n">
        <v>0.55</v>
      </c>
      <c r="M9" s="62" t="s">
        <v>462</v>
      </c>
    </row>
    <row r="10" customFormat="false" ht="15" hidden="false" customHeight="true" outlineLevel="0" collapsed="false">
      <c r="A10" s="33" t="n">
        <v>4</v>
      </c>
      <c r="B10" s="5" t="s">
        <v>463</v>
      </c>
      <c r="C10" s="32" t="s">
        <v>393</v>
      </c>
      <c r="D10" s="33" t="s">
        <v>94</v>
      </c>
      <c r="E10" s="39" t="n">
        <v>-110</v>
      </c>
      <c r="F10" s="40" t="n">
        <v>150</v>
      </c>
      <c r="G10" s="41" t="n">
        <f aca="false">IF(E10&gt;0,F10*E10/100,F10*100/ABS(E10))</f>
        <v>136.363636363636</v>
      </c>
      <c r="H10" s="41" t="n">
        <f aca="false">F10+G10</f>
        <v>286.363636363636</v>
      </c>
      <c r="I10" s="57" t="s">
        <v>98</v>
      </c>
      <c r="J10" s="41" t="n">
        <f aca="false">IF(I10="Win",F10+G10,IF(I10="Push",F10,IF(I10="Loss",0,0)))</f>
        <v>0</v>
      </c>
      <c r="K10" s="43" t="n">
        <f aca="false">IF(I10="Pending",0,J10-F10)</f>
        <v>-150</v>
      </c>
      <c r="L10" s="73" t="n">
        <v>0.54</v>
      </c>
      <c r="M10" s="62" t="s">
        <v>464</v>
      </c>
    </row>
    <row r="11" customFormat="false" ht="15" hidden="false" customHeight="true" outlineLevel="0" collapsed="false">
      <c r="A11" s="33" t="n">
        <v>5</v>
      </c>
      <c r="B11" s="5" t="s">
        <v>465</v>
      </c>
      <c r="C11" s="32" t="s">
        <v>466</v>
      </c>
      <c r="D11" s="33" t="s">
        <v>89</v>
      </c>
      <c r="E11" s="39" t="n">
        <v>-130</v>
      </c>
      <c r="F11" s="40" t="n">
        <v>140</v>
      </c>
      <c r="G11" s="41" t="n">
        <f aca="false">IF(E11&gt;0,F11*E11/100,F11*100/ABS(E11))</f>
        <v>107.692307692308</v>
      </c>
      <c r="H11" s="41" t="n">
        <f aca="false">F11+G11</f>
        <v>247.692307692308</v>
      </c>
      <c r="I11" s="57" t="s">
        <v>90</v>
      </c>
      <c r="J11" s="41" t="n">
        <f aca="false">IF(I11="Win",F11+G11,IF(I11="Push",F11,IF(I11="Loss",0,0)))</f>
        <v>247.692307692308</v>
      </c>
      <c r="K11" s="43" t="n">
        <f aca="false">IF(I11="Pending",0,J11-F11)</f>
        <v>107.692307692308</v>
      </c>
      <c r="L11" s="73" t="n">
        <v>0.58</v>
      </c>
      <c r="M11" s="62" t="s">
        <v>467</v>
      </c>
    </row>
    <row r="12" customFormat="false" ht="15" hidden="false" customHeight="true" outlineLevel="0" collapsed="false">
      <c r="A12" s="33" t="n">
        <v>6</v>
      </c>
      <c r="B12" s="5" t="s">
        <v>468</v>
      </c>
      <c r="C12" s="32" t="s">
        <v>469</v>
      </c>
      <c r="D12" s="33" t="s">
        <v>378</v>
      </c>
      <c r="E12" s="39" t="n">
        <v>-110</v>
      </c>
      <c r="F12" s="40" t="n">
        <v>115</v>
      </c>
      <c r="G12" s="41" t="n">
        <f aca="false">IF(E12&gt;0,F12*E12/100,F12*100/ABS(E12))</f>
        <v>104.545454545455</v>
      </c>
      <c r="H12" s="41" t="n">
        <f aca="false">F12+G12</f>
        <v>219.545454545455</v>
      </c>
      <c r="I12" s="57" t="s">
        <v>98</v>
      </c>
      <c r="J12" s="41" t="n">
        <f aca="false">IF(I12="Win",F12+G12,IF(I12="Push",F12,IF(I12="Loss",0,0)))</f>
        <v>0</v>
      </c>
      <c r="K12" s="43" t="n">
        <f aca="false">IF(I12="Pending",0,J12-F12)</f>
        <v>-115</v>
      </c>
      <c r="L12" s="73" t="n">
        <v>0.52</v>
      </c>
      <c r="M12" s="62" t="s">
        <v>470</v>
      </c>
    </row>
    <row r="13" customFormat="false" ht="15" hidden="false" customHeight="true" outlineLevel="0" collapsed="false">
      <c r="A13" s="33" t="n">
        <v>7</v>
      </c>
      <c r="B13" s="5" t="s">
        <v>395</v>
      </c>
      <c r="C13" s="32" t="s">
        <v>471</v>
      </c>
      <c r="D13" s="33" t="s">
        <v>117</v>
      </c>
      <c r="E13" s="39" t="n">
        <v>1133</v>
      </c>
      <c r="F13" s="40" t="n">
        <v>75</v>
      </c>
      <c r="G13" s="41" t="n">
        <f aca="false">IF(E13&gt;0,F13*E13/100,F13*100/ABS(E13))</f>
        <v>849.75</v>
      </c>
      <c r="H13" s="41" t="n">
        <f aca="false">F13+G13</f>
        <v>924.75</v>
      </c>
      <c r="I13" s="57" t="s">
        <v>98</v>
      </c>
      <c r="J13" s="41" t="n">
        <f aca="false">IF(I13="Win",F13+G13,IF(I13="Push",F13,IF(I13="Loss",0,0)))</f>
        <v>0</v>
      </c>
      <c r="K13" s="43" t="n">
        <f aca="false">IF(I13="Pending",0,J13-F13)</f>
        <v>-75</v>
      </c>
      <c r="L13" s="73" t="n">
        <v>0.1</v>
      </c>
      <c r="M13" s="62" t="s">
        <v>472</v>
      </c>
    </row>
    <row r="14" customFormat="false" ht="15" hidden="false" customHeight="true" outlineLevel="0" collapsed="false">
      <c r="B14" s="4" t="s">
        <v>39</v>
      </c>
      <c r="F14" s="8" t="n">
        <f aca="false">SUM(F7:F13)</f>
        <v>1000</v>
      </c>
      <c r="G14" s="8" t="n">
        <f aca="false">SUM(G7:G13)</f>
        <v>1672.1703332899</v>
      </c>
      <c r="H14" s="8" t="n">
        <f aca="false">SUM(H7:H13)</f>
        <v>2672.1703332899</v>
      </c>
      <c r="J14" s="8" t="n">
        <f aca="false">SUM(J7:J13)</f>
        <v>553.146853146853</v>
      </c>
      <c r="K14" s="8" t="n">
        <f aca="false">SUM(K7:K13)</f>
        <v>-446.853146853147</v>
      </c>
    </row>
  </sheetData>
  <conditionalFormatting sqref="K7:K14">
    <cfRule type="expression" priority="2" aboveAverage="0" equalAverage="0" bottom="0" percent="0" rank="0" text="" dxfId="0">
      <formula>AND(ISNUMBER(K7),K7&gt;0)</formula>
    </cfRule>
    <cfRule type="expression" priority="3" aboveAverage="0" equalAverage="0" bottom="0" percent="0" rank="0" text="" dxfId="1">
      <formula>AND(ISNUMBER(K7),K7&lt;0)</formula>
    </cfRule>
  </conditionalFormatting>
  <dataValidations count="1">
    <dataValidation allowBlank="false" errorStyle="stop" operator="between" showDropDown="false" showErrorMessage="false" showInputMessage="false" sqref="I7:I13" type="list">
      <formula1>"Pending,Win,Loss,Push"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2026-07-12T02:19:04Z</dcterms:created>
  <dc:creator>openpyxl</dc:creator>
  <dc:description/>
  <dc:language>en-US</dc:language>
  <cp:lastModifiedBy/>
  <dcterms:modified xsi:type="dcterms:W3CDTF">2026-07-16T23:17:52Z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