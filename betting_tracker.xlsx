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<sst xmlns="http://schemas.openxmlformats.org/spreadsheetml/2006/main" count="803" uniqueCount="473">
  <si>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</si>
  <si>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</si>
  <si>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</si>
  <si>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</si>
  <si>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</si>
  <si>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</si>
  <si>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</si>
  <si>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</si>
  <si>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</si>
  <si>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</si>
  <si>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</si>
  <si>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</si>
  <si>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</si>
  <si>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</si>
  <si>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</si>
  <si>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</si>
  <si>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</si>
  <si>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</si>
  <si>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</si>
  <si>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</si>
  <si>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</si>
  <si>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</si>
  <si>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ACTIVE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</si>
  <si>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</si>
  <si>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</si>
  <si>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</si>
  <si>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</si>
  <si>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Rugby Nations Cup — Final Rd</t>
  </si>
  <si>
    <t xml:space="preserve">2026-07-18</t>
  </si>
  <si>
    <t xml:space="preserve">QUEUED</t>
  </si>
  <si>
    <t xml:space="preserve">MLB Home Run Derby</t>
  </si>
  <si>
    <t xml:space="preserve">2026-07-13</t>
  </si>
  <si>
    <t xml:space="preserve">SETTLED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</si>
  <si>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</si>
  <si>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</si>
  <si>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</si>
  <si>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</si>
  <si>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</si>
  <si>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</si>
  <si>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</si>
  <si>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</si>
  <si>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</si>
  <si>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</si>
  <si>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</si>
  <si>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</si>
  <si>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</si>
  <si>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</si>
  <si>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</si>
  <si>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</si>
  <si>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</si>
  <si>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</si>
  <si>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</si>
  <si>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</si>
  <si>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</si>
  <si>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</si>
  <si>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</si>
  <si>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</si>
  <si>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</si>
  <si>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</si>
  <si>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</si>
  <si>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</si>
  <si>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</si>
  <si>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</si>
  <si>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</si>
  <si>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</si>
  <si>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</si>
  <si>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</si>
  <si>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</si>
  <si>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</si>
  <si>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</si>
  <si>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</si>
  <si>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</si>
  <si>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</si>
  <si>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</si>
  <si>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</si>
  <si>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</si>
  <si>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</si>
  <si>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</si>
  <si>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</si>
  <si>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</si>
  <si>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</si>
  <si>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</si>
  <si>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</si>
  <si>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</si>
  <si>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</si>
  <si>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</si>
  <si>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</si>
  <si>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</si>
  <si>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</si>
  <si>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</si>
  <si>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</si>
  <si>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</si>
  <si>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</si>
  <si>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</si>
  <si>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</si>
  <si>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</si>
  <si>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</si>
  <si>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</si>
  <si>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</si>
  <si>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</si>
  <si>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</si>
  <si>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</si>
  <si>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</si>
  <si>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</si>
  <si>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</si>
  <si>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</si>
  <si>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</si>
  <si>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</si>
  <si>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</si>
  <si>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</si>
  <si>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</si>
  <si>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</si>
  <si>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</si>
  <si>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</si>
  <si>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</si>
  <si>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</si>
  <si>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</si>
  <si>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</si>
  <si>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</si>
  <si>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</si>
  <si>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</si>
  <si>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</si>
  <si>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</si>
  <si>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</si>
  <si>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</si>
  <si>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</si>
  <si>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</si>
  <si>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</si>
  <si>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</si>
  <si>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</si>
  <si>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</si>
  <si>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</si>
  <si>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</si>
  <si>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</si>
  <si>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</si>
  <si>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</si>
  <si>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</si>
  <si>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</si>
  <si>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</si>
  <si>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</si>
  <si>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</si>
  <si>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</si>
  <si>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</si>
  <si>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</si>
  <si>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</si>
  <si>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</si>
  <si>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</si>
  <si>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</si>
  <si>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</si>
  <si>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</si>
  <si>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</si>
  <si>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</si>
  <si>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</si>
  <si>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</si>
  <si>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</si>
  <si>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</si>
  <si>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</si>
  <si>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</si>
  <si>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</si>
  <si>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</si>
  <si>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</si>
  <si>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</si>
  <si>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</si>
  <si>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</si>
  <si>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</si>
  <si>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</si>
  <si>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</si>
  <si>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</si>
  <si>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</si>
  <si>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</si>
  <si>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</si>
  <si>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</si>
  <si>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</si>
  <si>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</si>
  <si>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</si>
  <si>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</si>
  <si>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</si>
  <si>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</si>
  <si>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</si>
  <si>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</si>
  <si>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</si>
  <si>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</si>
  <si>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</si>
  <si>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</si>
  <si>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</si>
  <si>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</si>
  <si>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</si>
  <si>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</si>
  <si>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</si>
  <si>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</si>
  <si>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</si>
  <si>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</si>
  <si>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</si>
  <si>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</si>
  <si>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</si>
  <si>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</si>
  <si>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</si>
  <si>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</si>
  <si>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</si>
  <si>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</si>
  <si>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</si>
  <si>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</si>
  <si>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</si>
  <si>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</si>
  <si>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</si>
  <si>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</si>
  <si>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</si>
  <si>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</si>
  <si>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</si>
  <si>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</si>
  <si>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</si>
  <si>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</si>
  <si>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</si>
  <si>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</si>
  <si>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</si>
  <si>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</si>
  <si>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</si>
  <si>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</si>
  <si>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</si>
  <si>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</si>
  <si>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</si>
  <si>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</si>
  <si>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</si>
  <si>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</si>
  <si>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</si>
  <si>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</si>
  <si>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</si>
  <si>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</si>
  <si>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</si>
  <si>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</si>
  <si>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</si>
  <si>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</si>
  <si>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</si>
  <si>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</si>
  <si>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</si>
  <si>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</si>
  <si>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</si>
  <si>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</si>
  <si>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</si>
  <si>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</si>
  <si>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</si>
  <si>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</si>
  <si>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</si>
  <si>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</si>
  <si>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</si>
  <si>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</si>
  <si>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</si>
  <si>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</si>
  <si>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</si>
  <si>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</si>
  <si>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</si>
  <si>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</si>
  <si>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</si>
  <si>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</si>
  <si>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</si>
  <si>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</si>
  <si>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</si>
  <si>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</si>
  <si>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</si>
  <si>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</si>
  <si>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</si>
  <si>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</si>
  <si>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</si>
  <si>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</si>
  <si>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</si>
  <si>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</si>
  <si>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</si>
  <si>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</si>
  <si>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</si>
  <si>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</si>
  <si>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</si>
  <si>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</si>
  <si>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</si>
  <si>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</si>
  <si>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</si>
  <si>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</si>
  <si>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</si>
  <si>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</si>
  <si>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</si>
  <si>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</si>
  <si>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</si>
  <si>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</si>
  <si>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</si>
  <si>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</si>
  <si>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</si>
  <si>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</si>
  <si>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</si>
  <si>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</si>
  <si>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</si>
  <si>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</si>
  <si>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</si>
  <si>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</si>
  <si>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</si>
  <si>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</si>
  <si>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</si>
  <si>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</si>
  <si>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</si>
  <si>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</si>
  <si>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</si>
  <si>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</si>
  <si>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</si>
  <si>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</si>
  <si>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</si>
  <si>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</si>
  <si>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</si>
  <si>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</si>
  <si>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</si>
  <si>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</si>
  <si>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</si>
  <si>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</si>
  <si>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</si>
  <si>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</si>
  <si>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</si>
  <si>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</si>
  <si>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</si>
  <si>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</si>
  <si>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</si>
  <si>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</si>
  <si>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</si>
  <si>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</si>
  <si>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</si>
  <si>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</si>
  <si>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</si>
  <si>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</si>
  <si>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</si>
  <si>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</si>
  <si>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</si>
  <si>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</si>
  <si>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</si>
  <si>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</si>
  <si>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</si>
  <si>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</si>
  <si>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</si>
  <si>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</si>
  <si>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</si>
  <si>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</si>
  <si>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</si>
  <si>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</si>
  <si>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</si>
  <si>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</si>
  <si>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</si>
  <si>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</si>
  <si>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</si>
  <si>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</si>
  <si>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</si>
  <si>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</si>
  <si>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</si>
  <si>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</si>
  <si>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</si>
  <si>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</si>
  <si>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</si>
  <si>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</si>
  <si>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</si>
  <si>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</si>
  <si>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</si>
  <si>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</si>
  <si>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</si>
  <si>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</si>
  <si>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</si>
  <si>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</si>
  <si>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</si>
  <si>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</si>
  <si>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</si>
  <si>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</si>
  <si>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</si>
  <si>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</si>
  <si>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</si>
  <si>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</si>
  <si>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</si>
  <si>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</si>
  <si>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</si>
  <si>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</si>
  <si>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</si>
  <si>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</si>
  <si>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</si>
  <si>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</si>
  <si>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</si>
  <si>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</si>
  <si>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</si>
  <si>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</si>
  <si>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</si>
  <si>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</si>
  <si>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</si>
  <si>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</si>
  <si>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</si>
  <si>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</si>
  <si>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</si>
  <si>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</si>
  <si>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</si>
  <si>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</si>
  <si>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</si>
  <si>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</si>
  <si>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</si>
  <si>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</si>
  <si>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</si>
  <si>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</si>
  <si>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</si>
  <si>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</si>
  <si>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</si>
  <si>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</si>
  <si>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 · $1,000 fully deployed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</si>
  <si>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</si>
  <si>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</si>
  <si>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</si>
  <si>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</si>
  <si>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</si>
  <si>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</si>
  <si>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</si>
  <si>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</si>
  <si>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</si>
  <si>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</si>
  <si>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</si>
  <si>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</si>
  <si>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</si>
  <si>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</si>
  <si>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</si>
  <si>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</si>
  <si>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</si>
  <si>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</si>
  <si>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</si>
  <si>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</si>
  <si>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</si>
  <si>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</si>
  <si>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</si>
  <si>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</si>
  <si>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</si>
  <si>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</si>
  <si>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</si>
  <si>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</si>
  <si>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</si>
  <si>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</si>
  <si>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</si>
  <si>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</si>
  <si>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</si>
  <si>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</si>
  <si>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</si>
  <si>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</si>
  <si>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</si>
  <si>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</si>
  <si>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</si>
  <si>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</si>
  <si>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</si>
  <si>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</si>
  <si>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</si>
  <si>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</si>
  <si>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</si>
  <si>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</si>
  <si>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</si>
  <si>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</si>
  <si>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</si>
  <si>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</si>
  <si>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ACTIVE — pre-game; settles Wed night Jul 15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</si>
  <si>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</si>
  <si>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</si>
  <si>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</si>
  <si>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</si>
  <si>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</t>
  </si>
  <si>
    <t xml:space="preserve">Fever–Valkyries Over 169.5</t>
  </si>
  <si>
    <t xml:space="preserve">Headliner total</t>
  </si>
  <si>
    <t xml:space="preserve">Two top-8 offenses, Clark pace, soft number</t>
  </si>
  <si>
    <t xml:space="preserve">Sparks–Lynx Over 182.5</t>
  </si>
  <si>
    <t xml:space="preserve">Afternoon total</t>
  </si>
  <si>
    <t xml:space="preserve">Lynx offense + Sparks poor D &amp; fast pace</t>
  </si>
  <si>
    <t xml:space="preserve">Caitlin Clark Over 22.5 points</t>
  </si>
  <si>
    <t xml:space="preserve">Home usage vs beatable Valkyries D; Clark healthy, no minutes cap</t>
  </si>
  <si>
    <t xml:space="preserve">Chicago Sky ML</t>
  </si>
  <si>
    <t xml:space="preserve">vs Storm · afternoon</t>
  </si>
  <si>
    <t xml:space="preserve">vs 6-19 Storm, home side of bad-vs-bad</t>
  </si>
  <si>
    <t xml:space="preserve">Lynx -12.5</t>
  </si>
  <si>
    <t xml:space="preserve">vs Sparks · afternoon</t>
  </si>
  <si>
    <t xml:space="preserve">18-6 vs 10-12; sized down, back-door risk</t>
  </si>
  <si>
    <t xml:space="preserve">Fever -3.5 / Lynx O182.5 / Fever O169.5 / Sky ML</t>
  </si>
  <si>
    <t xml:space="preserve">Cross-game stack; counts in longshot record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</si>
</sst>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  <numFmt numFmtId="174" formatCode="\$#,##0"/>
    <numFmt numFmtId="175" formatCode="\$#,##0.00"/>
    <numFmt numFmtId="176" formatCode="\$#,##0.00;&quot;($&quot;#,##0.00\);\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-1240.32413374661</v>
      </c>
    </row>
    <row r="7" customFormat="false" ht="15" hidden="false" customHeight="true" outlineLevel="0" collapsed="false">
      <c r="A7" s="5" t="s">
        <v>5</v>
      </c>
      <c r="B7" s="8" t="n">
        <f aca="false">B5+B6</f>
        <v>3759.67586625339</v>
      </c>
    </row>
    <row r="8" customFormat="false" ht="15" hidden="false" customHeight="true" outlineLevel="0" collapsed="false">
      <c r="A8" s="5" t="s">
        <v>6</v>
      </c>
      <c r="B8" s="9" t="n">
        <f aca="false">F25</f>
        <v>3000</v>
      </c>
    </row>
    <row r="9" customFormat="false" ht="15" hidden="false" customHeight="true" outlineLevel="0" collapsed="false">
      <c r="A9" s="5" t="s">
        <v>7</v>
      </c>
      <c r="B9" s="8" t="n">
        <f aca="false">B7-B8</f>
        <v>759.675866253387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3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1000</v>
      </c>
      <c r="G16" s="17" t="n">
        <f aca="false">SUM('WNBA Jul 15'!J7:J13)</f>
        <v>0</v>
      </c>
      <c r="H16" s="17" t="n">
        <f aca="false">SUM('WNBA Jul 15'!K7:K13)</f>
        <v>0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1000</v>
      </c>
      <c r="G17" s="17" t="n">
        <f aca="false">SUM('World Cup 2026'!J7:J13)</f>
        <v>0</v>
      </c>
      <c r="H17" s="17" t="n">
        <f aca="false">SUM('World Cup 2026'!K7:K13)</f>
        <v>0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14" t="n">
        <v>6</v>
      </c>
      <c r="B18" s="15" t="s">
        <v>25</v>
      </c>
      <c r="C18" s="14" t="s">
        <v>26</v>
      </c>
      <c r="D18" s="16" t="s">
        <v>22</v>
      </c>
      <c r="E18" s="17" t="n">
        <f aca="false">SUM('The Open'!F7:F17)</f>
        <v>1000</v>
      </c>
      <c r="F18" s="17" t="n">
        <f aca="false">SUMIF('The Open'!I7:I17,"Pending",'The Open'!F7:F17)</f>
        <v>1000</v>
      </c>
      <c r="G18" s="17" t="n">
        <f aca="false">SUM('The Open'!J7:J17)</f>
        <v>0</v>
      </c>
      <c r="H18" s="17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27</v>
      </c>
      <c r="C19" s="20" t="s">
        <v>28</v>
      </c>
      <c r="D19" s="22" t="s">
        <v>29</v>
      </c>
      <c r="E19" s="23" t="n">
        <v>0</v>
      </c>
      <c r="F19" s="23" t="n">
        <v>0</v>
      </c>
      <c r="G19" s="23" t="n">
        <v>0</v>
      </c>
      <c r="H19" s="23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24" t="n">
        <v>8</v>
      </c>
      <c r="B20" s="25" t="s">
        <v>30</v>
      </c>
      <c r="C20" s="24" t="s">
        <v>31</v>
      </c>
      <c r="D20" s="26" t="s">
        <v>32</v>
      </c>
      <c r="E20" s="27" t="n">
        <f aca="false">SUM('HR Derby'!F7:F13)</f>
        <v>1000</v>
      </c>
      <c r="F20" s="27" t="n">
        <f aca="false">SUMIF('HR Derby'!I7:I13,"Pending",'HR Derby'!F7:F13)</f>
        <v>0</v>
      </c>
      <c r="G20" s="27" t="n">
        <f aca="false">SUM('HR Derby'!J7:J13)</f>
        <v>525</v>
      </c>
      <c r="H20" s="2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24" t="n">
        <v>4</v>
      </c>
      <c r="B21" s="25" t="s">
        <v>33</v>
      </c>
      <c r="C21" s="24" t="s">
        <v>34</v>
      </c>
      <c r="D21" s="26" t="s">
        <v>32</v>
      </c>
      <c r="E21" s="27" t="n">
        <f aca="false">SUM('NASCAR Jul 12'!F7:F13)</f>
        <v>1000</v>
      </c>
      <c r="F21" s="27" t="n">
        <f aca="false">SUMIF('NASCAR Jul 12'!I7:I13,"Pending",'NASCAR Jul 12'!F7:F13)</f>
        <v>0</v>
      </c>
      <c r="G21" s="27" t="n">
        <f aca="false">SUM('NASCAR Jul 12'!J7:J13)</f>
        <v>565.486725663717</v>
      </c>
      <c r="H21" s="2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24" t="n">
        <v>5</v>
      </c>
      <c r="B22" s="25" t="s">
        <v>35</v>
      </c>
      <c r="C22" s="24" t="s">
        <v>34</v>
      </c>
      <c r="D22" s="26" t="s">
        <v>32</v>
      </c>
      <c r="E22" s="27" t="n">
        <f aca="false">SUM('WNBA Jul 12'!F7:F13)</f>
        <v>1000</v>
      </c>
      <c r="F22" s="27" t="n">
        <f aca="false">SUMIF('WNBA Jul 12'!I7:I13,"Pending",'WNBA Jul 12'!F7:F13)</f>
        <v>0</v>
      </c>
      <c r="G22" s="27" t="n">
        <f aca="false">SUM('WNBA Jul 12'!J7:J13)</f>
        <v>701.846509693851</v>
      </c>
      <c r="H22" s="2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24" t="n">
        <v>3</v>
      </c>
      <c r="B23" s="25" t="s">
        <v>36</v>
      </c>
      <c r="C23" s="24" t="s">
        <v>34</v>
      </c>
      <c r="D23" s="26" t="s">
        <v>32</v>
      </c>
      <c r="E23" s="27" t="n">
        <f aca="false">SUM('MLB Jul 12'!F7:F14)</f>
        <v>1000</v>
      </c>
      <c r="F23" s="27" t="n">
        <f aca="false">SUMIF('MLB Jul 12'!I7:I14,"Pending",'MLB Jul 12'!F7:F14)</f>
        <v>0</v>
      </c>
      <c r="G23" s="27" t="n">
        <f aca="false">SUM('MLB Jul 12'!J7:J14)</f>
        <v>802.232258064516</v>
      </c>
      <c r="H23" s="27" t="n">
        <f aca="false">SUM('MLB Jul 12'!K7:K14)</f>
        <v>-197.767741935484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A24" s="24" t="n">
        <v>1</v>
      </c>
      <c r="B24" s="25" t="s">
        <v>37</v>
      </c>
      <c r="C24" s="24" t="s">
        <v>38</v>
      </c>
      <c r="D24" s="26" t="s">
        <v>32</v>
      </c>
      <c r="E24" s="27" t="n">
        <f aca="false">SUM('UFC 329'!F7:F15)</f>
        <v>1050</v>
      </c>
      <c r="F24" s="27" t="n">
        <f aca="false">SUMIF('UFC 329'!I7:I15,"Pending",'UFC 329'!F7:F15)</f>
        <v>0</v>
      </c>
      <c r="G24" s="27" t="n">
        <f aca="false">SUM('UFC 329'!J7:J15)</f>
        <v>1215.1103728313</v>
      </c>
      <c r="H24" s="2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39</v>
      </c>
      <c r="E25" s="8" t="n">
        <f aca="false">SUM(E16:E24)</f>
        <v>8050</v>
      </c>
      <c r="F25" s="8" t="n">
        <f aca="false">SUM(F16:F24)</f>
        <v>3000</v>
      </c>
      <c r="G25" s="8" t="n">
        <f aca="false">SUM(G16:G24)</f>
        <v>3809.67586625339</v>
      </c>
      <c r="H25" s="8" t="n">
        <f aca="false">SUM(H16:H24)</f>
        <v>-1240.32413374661</v>
      </c>
      <c r="K25" s="1"/>
      <c r="L25" s="1"/>
      <c r="M25" s="1"/>
    </row>
    <row r="26" customFormat="false" ht="15" hidden="false" customHeight="true" outlineLevel="0" collapsed="false">
      <c r="A26" s="29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9" t="s">
        <v>40</v>
      </c>
      <c r="B27" s="13"/>
      <c r="C27" s="13"/>
      <c r="D27" s="30"/>
      <c r="E27" s="13"/>
      <c r="K27" s="1"/>
      <c r="L27" s="1"/>
      <c r="M27" s="1"/>
    </row>
    <row r="28" customFormat="false" ht="15" hidden="false" customHeight="true" outlineLevel="0" collapsed="false">
      <c r="A28" s="12" t="s">
        <v>41</v>
      </c>
      <c r="B28" s="12" t="s">
        <v>42</v>
      </c>
      <c r="C28" s="12" t="s">
        <v>43</v>
      </c>
      <c r="D28" s="31" t="s">
        <v>44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32" t="s">
        <v>45</v>
      </c>
      <c r="B29" s="32" t="s">
        <v>46</v>
      </c>
      <c r="C29" s="33" t="s">
        <v>47</v>
      </c>
      <c r="D29" s="34" t="n">
        <v>0</v>
      </c>
      <c r="E29" s="10" t="s">
        <v>48</v>
      </c>
      <c r="K29" s="1"/>
      <c r="L29" s="1"/>
      <c r="M29" s="1"/>
    </row>
    <row r="30" customFormat="false" ht="15" hidden="false" customHeight="true" outlineLevel="0" collapsed="false">
      <c r="A30" s="32" t="s">
        <v>49</v>
      </c>
      <c r="B30" s="32" t="s">
        <v>50</v>
      </c>
      <c r="C30" s="33" t="s">
        <v>51</v>
      </c>
      <c r="D30" s="34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2" t="s">
        <v>52</v>
      </c>
      <c r="B31" s="32" t="s">
        <v>53</v>
      </c>
      <c r="C31" s="33" t="s">
        <v>54</v>
      </c>
      <c r="D31" s="34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2" t="s">
        <v>55</v>
      </c>
      <c r="B32" s="32" t="s">
        <v>56</v>
      </c>
      <c r="C32" s="33" t="s">
        <v>57</v>
      </c>
      <c r="D32" s="34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32" t="s">
        <v>58</v>
      </c>
      <c r="B33" s="32" t="s">
        <v>59</v>
      </c>
      <c r="C33" s="33" t="s">
        <v>60</v>
      </c>
      <c r="D33" s="34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32" t="s">
        <v>61</v>
      </c>
      <c r="B34" s="32" t="s">
        <v>62</v>
      </c>
      <c r="C34" s="33" t="s">
        <v>63</v>
      </c>
      <c r="D34" s="34" t="n">
        <v>0</v>
      </c>
      <c r="E34" s="10" t="s">
        <v>64</v>
      </c>
      <c r="K34" s="1"/>
      <c r="L34" s="1"/>
      <c r="M34" s="1"/>
    </row>
    <row r="35" customFormat="false" ht="15" hidden="false" customHeight="true" outlineLevel="0" collapsed="false">
      <c r="A35" s="32" t="s">
        <v>65</v>
      </c>
      <c r="B35" s="32" t="s">
        <v>66</v>
      </c>
      <c r="C35" s="33" t="s">
        <v>67</v>
      </c>
      <c r="D35" s="34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32" t="s">
        <v>68</v>
      </c>
      <c r="B36" s="32" t="s">
        <v>56</v>
      </c>
      <c r="C36" s="33" t="s">
        <v>69</v>
      </c>
      <c r="D36" s="34" t="n">
        <v>75</v>
      </c>
      <c r="E36" s="10" t="str">
        <f aca="false">IF('WNBA Jul 15'!I13="Win","HIT",IF('WNBA Jul 15'!I13="Loss","MISS","Pending"))</f>
        <v>Pending</v>
      </c>
      <c r="K36" s="1"/>
      <c r="L36" s="1"/>
      <c r="M36" s="1"/>
    </row>
    <row r="37" customFormat="false" ht="15" hidden="false" customHeight="true" outlineLevel="0" collapsed="false">
      <c r="A37" s="4" t="s">
        <v>70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0-for-5 (0%)</v>
      </c>
      <c r="K37" s="1"/>
      <c r="L37" s="1"/>
      <c r="M37" s="1"/>
    </row>
    <row r="38" customFormat="false" ht="15" hidden="false" customHeight="true" outlineLevel="0" collapsed="false">
      <c r="A38" s="3" t="s">
        <v>71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72</v>
      </c>
      <c r="H1" s="36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3" t="s">
        <v>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87</v>
      </c>
      <c r="C7" s="38" t="s">
        <v>88</v>
      </c>
      <c r="D7" s="33" t="s">
        <v>89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90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91</v>
      </c>
    </row>
    <row r="8" customFormat="false" ht="15" hidden="false" customHeight="true" outlineLevel="0" collapsed="false">
      <c r="A8" s="33" t="n">
        <v>2</v>
      </c>
      <c r="B8" s="37" t="s">
        <v>92</v>
      </c>
      <c r="C8" s="38" t="s">
        <v>93</v>
      </c>
      <c r="D8" s="33" t="s">
        <v>94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90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95</v>
      </c>
    </row>
    <row r="9" customFormat="false" ht="15" hidden="false" customHeight="true" outlineLevel="0" collapsed="false">
      <c r="A9" s="33" t="n">
        <v>3</v>
      </c>
      <c r="B9" s="37" t="s">
        <v>96</v>
      </c>
      <c r="C9" s="38" t="s">
        <v>97</v>
      </c>
      <c r="D9" s="33" t="s">
        <v>89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99</v>
      </c>
    </row>
    <row r="10" customFormat="false" ht="15" hidden="false" customHeight="true" outlineLevel="0" collapsed="false">
      <c r="A10" s="33" t="n">
        <v>4</v>
      </c>
      <c r="B10" s="37" t="s">
        <v>100</v>
      </c>
      <c r="C10" s="38" t="s">
        <v>101</v>
      </c>
      <c r="D10" s="33" t="s">
        <v>89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90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102</v>
      </c>
    </row>
    <row r="11" customFormat="false" ht="15" hidden="false" customHeight="true" outlineLevel="0" collapsed="false">
      <c r="A11" s="33" t="n">
        <v>5</v>
      </c>
      <c r="B11" s="37" t="s">
        <v>103</v>
      </c>
      <c r="C11" s="38" t="s">
        <v>104</v>
      </c>
      <c r="D11" s="33" t="s">
        <v>89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105</v>
      </c>
    </row>
    <row r="12" customFormat="false" ht="15" hidden="false" customHeight="true" outlineLevel="0" collapsed="false">
      <c r="A12" s="33" t="n">
        <v>6</v>
      </c>
      <c r="B12" s="37" t="s">
        <v>106</v>
      </c>
      <c r="C12" s="38" t="s">
        <v>107</v>
      </c>
      <c r="D12" s="33" t="s">
        <v>89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90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108</v>
      </c>
    </row>
    <row r="13" customFormat="false" ht="15" hidden="false" customHeight="true" outlineLevel="0" collapsed="false">
      <c r="A13" s="33" t="n">
        <v>7</v>
      </c>
      <c r="B13" s="37" t="s">
        <v>109</v>
      </c>
      <c r="C13" s="38" t="s">
        <v>110</v>
      </c>
      <c r="D13" s="33" t="s">
        <v>89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90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111</v>
      </c>
    </row>
    <row r="14" customFormat="false" ht="15" hidden="false" customHeight="true" outlineLevel="0" collapsed="false">
      <c r="A14" s="33" t="n">
        <v>8</v>
      </c>
      <c r="B14" s="37" t="s">
        <v>112</v>
      </c>
      <c r="C14" s="38" t="s">
        <v>113</v>
      </c>
      <c r="D14" s="33" t="s">
        <v>89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90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114</v>
      </c>
    </row>
    <row r="15" customFormat="false" ht="15" hidden="false" customHeight="true" outlineLevel="0" collapsed="false">
      <c r="A15" s="33" t="n">
        <v>9</v>
      </c>
      <c r="B15" s="37" t="s">
        <v>115</v>
      </c>
      <c r="C15" s="38" t="s">
        <v>116</v>
      </c>
      <c r="D15" s="33" t="s">
        <v>117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98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118</v>
      </c>
    </row>
    <row r="16" customFormat="false" ht="15" hidden="false" customHeight="true" outlineLevel="0" collapsed="false">
      <c r="A16" s="46"/>
      <c r="B16" s="47" t="s">
        <v>39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119</v>
      </c>
    </row>
    <row r="19" customFormat="false" ht="15" hidden="false" customHeight="true" outlineLevel="0" collapsed="false">
      <c r="B19" s="37" t="s">
        <v>120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121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122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123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124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125</v>
      </c>
      <c r="C24" s="34" t="n">
        <f aca="false">SUM(F7:F15)</f>
        <v>1050</v>
      </c>
    </row>
    <row r="25" customFormat="false" ht="15" hidden="false" customHeight="true" outlineLevel="0" collapsed="false">
      <c r="B25" s="37" t="s">
        <v>126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127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128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129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130</v>
      </c>
    </row>
    <row r="31" customFormat="false" ht="34.5" hidden="false" customHeight="true" outlineLevel="0" collapsed="false">
      <c r="A31" s="12" t="s">
        <v>12</v>
      </c>
      <c r="B31" s="12" t="s">
        <v>131</v>
      </c>
      <c r="C31" s="12" t="s">
        <v>132</v>
      </c>
      <c r="D31" s="12" t="s">
        <v>133</v>
      </c>
      <c r="E31" s="12" t="s">
        <v>134</v>
      </c>
      <c r="F31" s="12" t="s">
        <v>135</v>
      </c>
    </row>
    <row r="32" customFormat="false" ht="15" hidden="false" customHeight="true" outlineLevel="0" collapsed="false">
      <c r="A32" s="33" t="n">
        <v>1</v>
      </c>
      <c r="B32" s="37" t="s">
        <v>136</v>
      </c>
      <c r="C32" s="44" t="s">
        <v>137</v>
      </c>
      <c r="D32" s="53" t="s">
        <v>138</v>
      </c>
      <c r="E32" s="54" t="s">
        <v>139</v>
      </c>
      <c r="F32" s="54" t="s">
        <v>140</v>
      </c>
    </row>
    <row r="33" customFormat="false" ht="15" hidden="false" customHeight="true" outlineLevel="0" collapsed="false">
      <c r="A33" s="33" t="n">
        <v>2</v>
      </c>
      <c r="B33" s="37" t="s">
        <v>141</v>
      </c>
      <c r="C33" s="44" t="s">
        <v>142</v>
      </c>
      <c r="D33" s="53" t="s">
        <v>143</v>
      </c>
      <c r="E33" s="54" t="s">
        <v>144</v>
      </c>
      <c r="F33" s="54" t="s">
        <v>145</v>
      </c>
    </row>
    <row r="34" customFormat="false" ht="15" hidden="false" customHeight="true" outlineLevel="0" collapsed="false">
      <c r="A34" s="33" t="n">
        <v>3</v>
      </c>
      <c r="B34" s="37" t="s">
        <v>146</v>
      </c>
      <c r="C34" s="44" t="s">
        <v>147</v>
      </c>
      <c r="D34" s="53" t="s">
        <v>148</v>
      </c>
      <c r="E34" s="54" t="s">
        <v>149</v>
      </c>
      <c r="F34" s="54" t="s">
        <v>150</v>
      </c>
    </row>
    <row r="35" customFormat="false" ht="15" hidden="false" customHeight="true" outlineLevel="0" collapsed="false">
      <c r="A35" s="33" t="n">
        <v>4</v>
      </c>
      <c r="B35" s="37" t="s">
        <v>151</v>
      </c>
      <c r="C35" s="44" t="s">
        <v>152</v>
      </c>
      <c r="D35" s="53" t="s">
        <v>153</v>
      </c>
      <c r="E35" s="54" t="s">
        <v>154</v>
      </c>
      <c r="F35" s="54" t="s">
        <v>155</v>
      </c>
    </row>
    <row r="36" customFormat="false" ht="15" hidden="false" customHeight="true" outlineLevel="0" collapsed="false">
      <c r="A36" s="33" t="n">
        <v>5</v>
      </c>
      <c r="B36" s="37" t="s">
        <v>156</v>
      </c>
      <c r="C36" s="44" t="s">
        <v>157</v>
      </c>
      <c r="D36" s="53" t="s">
        <v>158</v>
      </c>
      <c r="E36" s="54" t="s">
        <v>159</v>
      </c>
      <c r="F36" s="54" t="s">
        <v>160</v>
      </c>
    </row>
    <row r="37" customFormat="false" ht="15" hidden="false" customHeight="true" outlineLevel="0" collapsed="false">
      <c r="A37" s="33" t="n">
        <v>6</v>
      </c>
      <c r="B37" s="37" t="s">
        <v>161</v>
      </c>
      <c r="C37" s="44" t="s">
        <v>162</v>
      </c>
      <c r="D37" s="53" t="s">
        <v>47</v>
      </c>
      <c r="E37" s="54" t="s">
        <v>163</v>
      </c>
      <c r="F37" s="54" t="s">
        <v>164</v>
      </c>
    </row>
    <row r="39" customFormat="false" ht="15" hidden="false" customHeight="true" outlineLevel="0" collapsed="false">
      <c r="A39" s="55" t="s">
        <v>165</v>
      </c>
    </row>
    <row r="40" customFormat="false" ht="15" hidden="false" customHeight="true" outlineLevel="0" collapsed="false">
      <c r="A40" s="55" t="s">
        <v>166</v>
      </c>
    </row>
    <row r="41" customFormat="false" ht="15" hidden="false" customHeight="true" outlineLevel="0" collapsed="false">
      <c r="A41" s="55" t="s">
        <v>167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168</v>
      </c>
      <c r="H1" s="56" t="s">
        <v>169</v>
      </c>
    </row>
    <row r="2" customFormat="false" ht="15" hidden="false" customHeight="true" outlineLevel="0" collapsed="false">
      <c r="A2" s="3" t="s">
        <v>170</v>
      </c>
    </row>
    <row r="3" customFormat="false" ht="15" hidden="false" customHeight="true" outlineLevel="0" collapsed="false">
      <c r="A3" s="3" t="s">
        <v>171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172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173</v>
      </c>
      <c r="C7" s="38" t="s">
        <v>174</v>
      </c>
      <c r="D7" s="33" t="s">
        <v>175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44" t="s">
        <v>176</v>
      </c>
    </row>
    <row r="8" customFormat="false" ht="15" hidden="false" customHeight="true" outlineLevel="0" collapsed="false">
      <c r="A8" s="33" t="n">
        <v>2</v>
      </c>
      <c r="B8" s="37" t="s">
        <v>177</v>
      </c>
      <c r="C8" s="38" t="s">
        <v>178</v>
      </c>
      <c r="D8" s="33" t="s">
        <v>179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44" t="s">
        <v>180</v>
      </c>
    </row>
    <row r="9" customFormat="false" ht="15" hidden="false" customHeight="true" outlineLevel="0" collapsed="false">
      <c r="A9" s="33" t="n">
        <v>3</v>
      </c>
      <c r="B9" s="37" t="s">
        <v>181</v>
      </c>
      <c r="C9" s="38" t="s">
        <v>182</v>
      </c>
      <c r="D9" s="33" t="s">
        <v>183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44" t="s">
        <v>184</v>
      </c>
    </row>
    <row r="10" customFormat="false" ht="15" hidden="false" customHeight="true" outlineLevel="0" collapsed="false">
      <c r="A10" s="33" t="n">
        <v>4</v>
      </c>
      <c r="B10" s="37" t="s">
        <v>185</v>
      </c>
      <c r="C10" s="38" t="s">
        <v>186</v>
      </c>
      <c r="D10" s="33" t="s">
        <v>183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44" t="s">
        <v>187</v>
      </c>
    </row>
    <row r="11" customFormat="false" ht="15" hidden="false" customHeight="true" outlineLevel="0" collapsed="false">
      <c r="A11" s="33" t="n">
        <v>5</v>
      </c>
      <c r="B11" s="37" t="s">
        <v>188</v>
      </c>
      <c r="C11" s="38" t="s">
        <v>189</v>
      </c>
      <c r="D11" s="33" t="s">
        <v>190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44" t="s">
        <v>191</v>
      </c>
    </row>
    <row r="12" customFormat="false" ht="15" hidden="false" customHeight="true" outlineLevel="0" collapsed="false">
      <c r="A12" s="33" t="n">
        <v>6</v>
      </c>
      <c r="B12" s="37" t="s">
        <v>192</v>
      </c>
      <c r="C12" s="38" t="s">
        <v>193</v>
      </c>
      <c r="D12" s="33" t="s">
        <v>190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44" t="s">
        <v>194</v>
      </c>
    </row>
    <row r="13" customFormat="false" ht="15" hidden="false" customHeight="true" outlineLevel="0" collapsed="false">
      <c r="A13" s="33" t="n">
        <v>7</v>
      </c>
      <c r="B13" s="37" t="s">
        <v>195</v>
      </c>
      <c r="C13" s="38" t="s">
        <v>196</v>
      </c>
      <c r="D13" s="33" t="s">
        <v>117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7" t="s">
        <v>123</v>
      </c>
      <c r="J13" s="41" t="n">
        <f aca="false">IF(I13="Win",F13+G13,IF(I13="Push",F13,IF(I13="Loss",0,0)))</f>
        <v>0</v>
      </c>
      <c r="K13" s="43" t="n">
        <f aca="false">IF(I13="Pending",0,J13-F13)</f>
        <v>0</v>
      </c>
      <c r="L13" s="44" t="s">
        <v>197</v>
      </c>
    </row>
    <row r="14" customFormat="false" ht="15" hidden="false" customHeight="true" outlineLevel="0" collapsed="false">
      <c r="A14" s="46"/>
      <c r="B14" s="47" t="s">
        <v>39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0</v>
      </c>
      <c r="K14" s="50" t="n">
        <f aca="false">SUM(K7:K13)</f>
        <v>0</v>
      </c>
      <c r="L14" s="46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37" t="s">
        <v>120</v>
      </c>
      <c r="C17" s="51" t="n">
        <f aca="false">COUNTIF(I7:I13,"Win")</f>
        <v>0</v>
      </c>
    </row>
    <row r="18" customFormat="false" ht="15" hidden="false" customHeight="true" outlineLevel="0" collapsed="false">
      <c r="B18" s="37" t="s">
        <v>121</v>
      </c>
      <c r="C18" s="51" t="n">
        <f aca="false">COUNTIF(I7:I13,"Loss")</f>
        <v>0</v>
      </c>
    </row>
    <row r="19" customFormat="false" ht="15" hidden="false" customHeight="true" outlineLevel="0" collapsed="false">
      <c r="B19" s="37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123</v>
      </c>
      <c r="C20" s="51" t="n">
        <f aca="false">COUNTIF(I7:I13,"Pending")</f>
        <v>7</v>
      </c>
    </row>
    <row r="21" customFormat="false" ht="15" hidden="false" customHeight="true" outlineLevel="0" collapsed="false">
      <c r="B21" s="37" t="s">
        <v>124</v>
      </c>
      <c r="C21" s="52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37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37" t="s">
        <v>126</v>
      </c>
      <c r="C23" s="41" t="n">
        <f aca="false">SUM(J7:J13)</f>
        <v>0</v>
      </c>
    </row>
    <row r="24" customFormat="false" ht="15" hidden="false" customHeight="true" outlineLevel="0" collapsed="false">
      <c r="B24" s="37" t="s">
        <v>127</v>
      </c>
      <c r="C24" s="43" t="n">
        <f aca="false">SUM(K7:K13)</f>
        <v>0</v>
      </c>
    </row>
    <row r="25" customFormat="false" ht="15" hidden="false" customHeight="true" outlineLevel="0" collapsed="false">
      <c r="B25" s="37" t="s">
        <v>128</v>
      </c>
      <c r="C25" s="52" t="n">
        <f aca="false">IF(SUM(F7:F13)=0,"—",SUM(K7:K13)/SUM(F7:F13))</f>
        <v>0</v>
      </c>
    </row>
    <row r="26" customFormat="false" ht="15" hidden="false" customHeight="true" outlineLevel="0" collapsed="false">
      <c r="B26" s="37" t="s">
        <v>198</v>
      </c>
      <c r="C26" s="34" t="n">
        <f aca="false">929</f>
        <v>929</v>
      </c>
    </row>
    <row r="28" customFormat="false" ht="15" hidden="false" customHeight="true" outlineLevel="0" collapsed="false">
      <c r="A28" s="4" t="s">
        <v>199</v>
      </c>
    </row>
    <row r="29" customFormat="false" ht="34.5" hidden="false" customHeight="true" outlineLevel="0" collapsed="false">
      <c r="A29" s="12" t="s">
        <v>12</v>
      </c>
      <c r="B29" s="12" t="s">
        <v>200</v>
      </c>
      <c r="C29" s="12" t="s">
        <v>132</v>
      </c>
      <c r="D29" s="12" t="s">
        <v>133</v>
      </c>
      <c r="E29" s="12" t="s">
        <v>201</v>
      </c>
      <c r="F29" s="12" t="s">
        <v>135</v>
      </c>
    </row>
    <row r="30" customFormat="false" ht="15" hidden="false" customHeight="true" outlineLevel="0" collapsed="false">
      <c r="A30" s="33" t="n">
        <v>1</v>
      </c>
      <c r="B30" s="37" t="s">
        <v>202</v>
      </c>
      <c r="C30" s="44" t="s">
        <v>203</v>
      </c>
      <c r="D30" s="53" t="s">
        <v>204</v>
      </c>
      <c r="E30" s="57"/>
      <c r="F30" s="57"/>
    </row>
    <row r="31" customFormat="false" ht="15" hidden="false" customHeight="true" outlineLevel="0" collapsed="false">
      <c r="A31" s="33" t="n">
        <v>2</v>
      </c>
      <c r="B31" s="37" t="s">
        <v>205</v>
      </c>
      <c r="C31" s="44" t="s">
        <v>206</v>
      </c>
      <c r="D31" s="53" t="s">
        <v>207</v>
      </c>
      <c r="E31" s="57"/>
      <c r="F31" s="57"/>
    </row>
    <row r="32" customFormat="false" ht="15" hidden="false" customHeight="true" outlineLevel="0" collapsed="false">
      <c r="A32" s="33" t="n">
        <v>3</v>
      </c>
      <c r="B32" s="37" t="s">
        <v>208</v>
      </c>
      <c r="C32" s="44" t="s">
        <v>209</v>
      </c>
      <c r="D32" s="53" t="s">
        <v>210</v>
      </c>
      <c r="E32" s="57"/>
      <c r="F32" s="57"/>
    </row>
    <row r="33" customFormat="false" ht="15" hidden="false" customHeight="true" outlineLevel="0" collapsed="false">
      <c r="A33" s="33" t="n">
        <v>4</v>
      </c>
      <c r="B33" s="37" t="s">
        <v>211</v>
      </c>
      <c r="C33" s="44" t="s">
        <v>212</v>
      </c>
      <c r="D33" s="53" t="s">
        <v>213</v>
      </c>
      <c r="E33" s="57"/>
      <c r="F33" s="57"/>
    </row>
    <row r="35" customFormat="false" ht="15" hidden="false" customHeight="true" outlineLevel="0" collapsed="false">
      <c r="A35" s="55" t="s">
        <v>214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215</v>
      </c>
      <c r="H1" s="36" t="s">
        <v>216</v>
      </c>
    </row>
    <row r="2" customFormat="false" ht="15" hidden="false" customHeight="true" outlineLevel="0" collapsed="false">
      <c r="A2" s="3" t="s">
        <v>217</v>
      </c>
    </row>
    <row r="3" customFormat="false" ht="15" hidden="false" customHeight="true" outlineLevel="0" collapsed="false">
      <c r="A3" s="3" t="s">
        <v>218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37" t="s">
        <v>221</v>
      </c>
      <c r="C7" s="38" t="s">
        <v>222</v>
      </c>
      <c r="D7" s="33" t="s">
        <v>89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90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8" t="n">
        <v>0.62</v>
      </c>
      <c r="M7" s="44" t="s">
        <v>223</v>
      </c>
    </row>
    <row r="8" customFormat="false" ht="15" hidden="false" customHeight="true" outlineLevel="0" collapsed="false">
      <c r="A8" s="33" t="n">
        <v>2</v>
      </c>
      <c r="B8" s="37" t="s">
        <v>224</v>
      </c>
      <c r="C8" s="38" t="s">
        <v>225</v>
      </c>
      <c r="D8" s="33" t="s">
        <v>89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0.54</v>
      </c>
      <c r="M8" s="44" t="s">
        <v>226</v>
      </c>
    </row>
    <row r="9" customFormat="false" ht="15" hidden="false" customHeight="true" outlineLevel="0" collapsed="false">
      <c r="A9" s="33" t="n">
        <v>3</v>
      </c>
      <c r="B9" s="37" t="s">
        <v>227</v>
      </c>
      <c r="C9" s="38" t="s">
        <v>228</v>
      </c>
      <c r="D9" s="33" t="s">
        <v>89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0.55</v>
      </c>
      <c r="M9" s="44" t="s">
        <v>229</v>
      </c>
    </row>
    <row r="10" customFormat="false" ht="15" hidden="false" customHeight="true" outlineLevel="0" collapsed="false">
      <c r="A10" s="33" t="n">
        <v>4</v>
      </c>
      <c r="B10" s="37" t="s">
        <v>230</v>
      </c>
      <c r="C10" s="38" t="s">
        <v>231</v>
      </c>
      <c r="D10" s="33" t="s">
        <v>179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0.55</v>
      </c>
      <c r="M10" s="44" t="s">
        <v>232</v>
      </c>
    </row>
    <row r="11" customFormat="false" ht="15" hidden="false" customHeight="true" outlineLevel="0" collapsed="false">
      <c r="A11" s="33" t="n">
        <v>5</v>
      </c>
      <c r="B11" s="37" t="s">
        <v>233</v>
      </c>
      <c r="C11" s="38" t="s">
        <v>234</v>
      </c>
      <c r="D11" s="33" t="s">
        <v>89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90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8" t="n">
        <v>0.52</v>
      </c>
      <c r="M11" s="44" t="s">
        <v>235</v>
      </c>
    </row>
    <row r="12" customFormat="false" ht="15" hidden="false" customHeight="true" outlineLevel="0" collapsed="false">
      <c r="A12" s="33" t="n">
        <v>6</v>
      </c>
      <c r="B12" s="37" t="s">
        <v>236</v>
      </c>
      <c r="C12" s="38" t="s">
        <v>237</v>
      </c>
      <c r="D12" s="33" t="s">
        <v>89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8" t="n">
        <v>0.5</v>
      </c>
      <c r="M12" s="44" t="s">
        <v>238</v>
      </c>
    </row>
    <row r="13" customFormat="false" ht="15" hidden="false" customHeight="true" outlineLevel="0" collapsed="false">
      <c r="A13" s="33" t="n">
        <v>7</v>
      </c>
      <c r="B13" s="37" t="s">
        <v>239</v>
      </c>
      <c r="C13" s="38" t="s">
        <v>240</v>
      </c>
      <c r="D13" s="33" t="s">
        <v>89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90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8" t="n">
        <v>0.5</v>
      </c>
      <c r="M13" s="44" t="s">
        <v>241</v>
      </c>
    </row>
    <row r="14" customFormat="false" ht="15" hidden="false" customHeight="true" outlineLevel="0" collapsed="false">
      <c r="A14" s="33" t="n">
        <v>8</v>
      </c>
      <c r="B14" s="37" t="s">
        <v>242</v>
      </c>
      <c r="C14" s="38" t="s">
        <v>243</v>
      </c>
      <c r="D14" s="33" t="s">
        <v>117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98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8" t="n">
        <v>0.14</v>
      </c>
      <c r="M14" s="44" t="s">
        <v>244</v>
      </c>
    </row>
    <row r="15" customFormat="false" ht="15" hidden="false" customHeight="true" outlineLevel="0" collapsed="false">
      <c r="A15" s="46"/>
      <c r="B15" s="47" t="s">
        <v>39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9" t="n">
        <f aca="false">SUM(L7:L14)</f>
        <v>3.92</v>
      </c>
      <c r="M15" s="46"/>
    </row>
    <row r="17" customFormat="false" ht="15" hidden="false" customHeight="true" outlineLevel="0" collapsed="false">
      <c r="B17" s="4" t="s">
        <v>119</v>
      </c>
    </row>
    <row r="18" customFormat="false" ht="15" hidden="false" customHeight="true" outlineLevel="0" collapsed="false">
      <c r="B18" s="37" t="s">
        <v>120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121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122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123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124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125</v>
      </c>
      <c r="C23" s="34" t="n">
        <f aca="false">SUM(F7:F14)</f>
        <v>1000</v>
      </c>
    </row>
    <row r="24" customFormat="false" ht="15" hidden="false" customHeight="true" outlineLevel="0" collapsed="false">
      <c r="B24" s="37" t="s">
        <v>126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127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128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129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245</v>
      </c>
      <c r="C28" s="60" t="n">
        <f aca="false">SUM(L7:L14)</f>
        <v>3.92</v>
      </c>
    </row>
    <row r="29" customFormat="false" ht="15" hidden="false" customHeight="true" outlineLevel="0" collapsed="false">
      <c r="B29" s="37" t="s">
        <v>246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247</v>
      </c>
    </row>
    <row r="32" customFormat="false" ht="34.5" hidden="false" customHeight="true" outlineLevel="0" collapsed="false">
      <c r="A32" s="12" t="s">
        <v>12</v>
      </c>
      <c r="B32" s="12" t="s">
        <v>248</v>
      </c>
      <c r="C32" s="12" t="s">
        <v>132</v>
      </c>
      <c r="D32" s="12" t="s">
        <v>249</v>
      </c>
      <c r="E32" s="12" t="s">
        <v>134</v>
      </c>
      <c r="F32" s="12" t="s">
        <v>135</v>
      </c>
    </row>
    <row r="33" customFormat="false" ht="15" hidden="false" customHeight="true" outlineLevel="0" collapsed="false">
      <c r="A33" s="33" t="n">
        <v>1</v>
      </c>
      <c r="B33" s="37" t="s">
        <v>250</v>
      </c>
      <c r="C33" s="44" t="s">
        <v>251</v>
      </c>
      <c r="D33" s="53" t="s">
        <v>252</v>
      </c>
      <c r="E33" s="57"/>
      <c r="F33" s="57"/>
    </row>
    <row r="34" customFormat="false" ht="15" hidden="false" customHeight="true" outlineLevel="0" collapsed="false">
      <c r="A34" s="33" t="n">
        <v>2</v>
      </c>
      <c r="B34" s="37" t="s">
        <v>253</v>
      </c>
      <c r="C34" s="44" t="s">
        <v>254</v>
      </c>
      <c r="D34" s="53" t="s">
        <v>255</v>
      </c>
      <c r="E34" s="57"/>
      <c r="F34" s="57"/>
    </row>
    <row r="35" customFormat="false" ht="15" hidden="false" customHeight="true" outlineLevel="0" collapsed="false">
      <c r="A35" s="33" t="n">
        <v>3</v>
      </c>
      <c r="B35" s="37" t="s">
        <v>256</v>
      </c>
      <c r="C35" s="44" t="s">
        <v>257</v>
      </c>
      <c r="D35" s="53" t="s">
        <v>258</v>
      </c>
      <c r="E35" s="57"/>
      <c r="F35" s="57"/>
    </row>
    <row r="36" customFormat="false" ht="15" hidden="false" customHeight="true" outlineLevel="0" collapsed="false">
      <c r="A36" s="33" t="n">
        <v>4</v>
      </c>
      <c r="B36" s="37" t="s">
        <v>259</v>
      </c>
      <c r="C36" s="44" t="s">
        <v>260</v>
      </c>
      <c r="D36" s="53" t="s">
        <v>261</v>
      </c>
      <c r="E36" s="57"/>
      <c r="F36" s="57"/>
    </row>
    <row r="37" customFormat="false" ht="15" hidden="false" customHeight="true" outlineLevel="0" collapsed="false">
      <c r="A37" s="33" t="n">
        <v>5</v>
      </c>
      <c r="B37" s="37" t="s">
        <v>262</v>
      </c>
      <c r="C37" s="44" t="s">
        <v>263</v>
      </c>
      <c r="D37" s="53" t="s">
        <v>264</v>
      </c>
      <c r="E37" s="57"/>
      <c r="F37" s="57"/>
    </row>
    <row r="38" customFormat="false" ht="15" hidden="false" customHeight="true" outlineLevel="0" collapsed="false">
      <c r="A38" s="33" t="n">
        <v>6</v>
      </c>
      <c r="B38" s="37" t="s">
        <v>265</v>
      </c>
      <c r="C38" s="44" t="s">
        <v>266</v>
      </c>
      <c r="D38" s="53" t="s">
        <v>267</v>
      </c>
      <c r="E38" s="57"/>
      <c r="F38" s="57"/>
    </row>
    <row r="39" customFormat="false" ht="15" hidden="false" customHeight="true" outlineLevel="0" collapsed="false">
      <c r="A39" s="33" t="n">
        <v>7</v>
      </c>
      <c r="B39" s="37" t="s">
        <v>268</v>
      </c>
      <c r="C39" s="44" t="s">
        <v>269</v>
      </c>
      <c r="D39" s="53" t="s">
        <v>270</v>
      </c>
      <c r="E39" s="57"/>
      <c r="F39" s="57"/>
    </row>
    <row r="40" customFormat="false" ht="15" hidden="false" customHeight="true" outlineLevel="0" collapsed="false">
      <c r="A40" s="33" t="n">
        <v>8</v>
      </c>
      <c r="B40" s="37" t="s">
        <v>271</v>
      </c>
      <c r="C40" s="44" t="s">
        <v>272</v>
      </c>
      <c r="D40" s="53" t="s">
        <v>273</v>
      </c>
      <c r="E40" s="57"/>
      <c r="F40" s="57"/>
    </row>
    <row r="42" customFormat="false" ht="15" hidden="false" customHeight="true" outlineLevel="0" collapsed="false">
      <c r="A42" s="55" t="s">
        <v>274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275</v>
      </c>
      <c r="H1" s="56" t="s">
        <v>276</v>
      </c>
    </row>
    <row r="2" customFormat="false" ht="15" hidden="false" customHeight="true" outlineLevel="0" collapsed="false">
      <c r="A2" s="3" t="s">
        <v>277</v>
      </c>
    </row>
    <row r="3" customFormat="false" ht="15" hidden="false" customHeight="true" outlineLevel="0" collapsed="false">
      <c r="A3" s="61" t="s">
        <v>278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279</v>
      </c>
      <c r="C7" s="32" t="s">
        <v>280</v>
      </c>
      <c r="D7" s="33" t="s">
        <v>281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7" t="s">
        <v>90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8" t="n">
        <v>0.58</v>
      </c>
      <c r="M7" s="62" t="s">
        <v>282</v>
      </c>
    </row>
    <row r="8" customFormat="false" ht="15" hidden="false" customHeight="true" outlineLevel="0" collapsed="false">
      <c r="A8" s="33" t="n">
        <v>2</v>
      </c>
      <c r="B8" s="5" t="s">
        <v>283</v>
      </c>
      <c r="C8" s="32" t="s">
        <v>284</v>
      </c>
      <c r="D8" s="33" t="s">
        <v>94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8" t="n">
        <v>0.24</v>
      </c>
      <c r="M8" s="62" t="s">
        <v>285</v>
      </c>
    </row>
    <row r="9" customFormat="false" ht="15" hidden="false" customHeight="true" outlineLevel="0" collapsed="false">
      <c r="A9" s="33" t="n">
        <v>3</v>
      </c>
      <c r="B9" s="5" t="s">
        <v>286</v>
      </c>
      <c r="C9" s="32" t="s">
        <v>287</v>
      </c>
      <c r="D9" s="33" t="s">
        <v>190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0.1</v>
      </c>
      <c r="M9" s="62" t="s">
        <v>288</v>
      </c>
    </row>
    <row r="10" customFormat="false" ht="15" hidden="false" customHeight="true" outlineLevel="0" collapsed="false">
      <c r="A10" s="33" t="n">
        <v>4</v>
      </c>
      <c r="B10" s="5" t="s">
        <v>289</v>
      </c>
      <c r="C10" s="32" t="s">
        <v>287</v>
      </c>
      <c r="D10" s="33" t="s">
        <v>190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0.08</v>
      </c>
      <c r="M10" s="62" t="s">
        <v>290</v>
      </c>
    </row>
    <row r="11" customFormat="false" ht="15" hidden="false" customHeight="true" outlineLevel="0" collapsed="false">
      <c r="A11" s="33" t="n">
        <v>5</v>
      </c>
      <c r="B11" s="5" t="s">
        <v>291</v>
      </c>
      <c r="C11" s="32" t="s">
        <v>287</v>
      </c>
      <c r="D11" s="33" t="s">
        <v>190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8" t="n">
        <v>0.07</v>
      </c>
      <c r="M11" s="62" t="s">
        <v>292</v>
      </c>
    </row>
    <row r="12" customFormat="false" ht="15" hidden="false" customHeight="true" outlineLevel="0" collapsed="false">
      <c r="A12" s="33" t="n">
        <v>6</v>
      </c>
      <c r="B12" s="5" t="s">
        <v>293</v>
      </c>
      <c r="C12" s="32" t="s">
        <v>287</v>
      </c>
      <c r="D12" s="33" t="s">
        <v>190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8" t="n">
        <v>0.08</v>
      </c>
      <c r="M12" s="62" t="s">
        <v>294</v>
      </c>
    </row>
    <row r="13" customFormat="false" ht="15" hidden="false" customHeight="true" outlineLevel="0" collapsed="false">
      <c r="A13" s="33" t="n">
        <v>7</v>
      </c>
      <c r="B13" s="5" t="s">
        <v>295</v>
      </c>
      <c r="C13" s="32" t="s">
        <v>287</v>
      </c>
      <c r="D13" s="33" t="s">
        <v>190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8" t="n">
        <v>0.05</v>
      </c>
      <c r="M13" s="62" t="s">
        <v>296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3"/>
      <c r="J14" s="49" t="n">
        <f aca="false">SUM(J7:J13)</f>
        <v>565.486725663717</v>
      </c>
      <c r="K14" s="50" t="n">
        <f aca="false">SUM(K7:K13)</f>
        <v>-434.513274336283</v>
      </c>
      <c r="L14" s="59" t="n">
        <f aca="false">SUM(L7:L13)</f>
        <v>1.2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245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297</v>
      </c>
      <c r="C27" s="34" t="n">
        <f aca="false">2678</f>
        <v>2678</v>
      </c>
    </row>
    <row r="29" customFormat="false" ht="15" hidden="false" customHeight="true" outlineLevel="0" collapsed="false">
      <c r="A29" s="55" t="s">
        <v>298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299</v>
      </c>
    </row>
    <row r="2" customFormat="false" ht="15" hidden="false" customHeight="true" outlineLevel="0" collapsed="false">
      <c r="A2" s="3" t="s">
        <v>300</v>
      </c>
    </row>
    <row r="4" customFormat="false" ht="24" hidden="false" customHeight="true" outlineLevel="0" collapsed="false">
      <c r="A4" s="12" t="s">
        <v>301</v>
      </c>
      <c r="B4" s="12" t="s">
        <v>302</v>
      </c>
      <c r="C4" s="12" t="s">
        <v>303</v>
      </c>
      <c r="D4" s="12" t="s">
        <v>304</v>
      </c>
      <c r="E4" s="12" t="s">
        <v>305</v>
      </c>
      <c r="F4" s="12" t="s">
        <v>306</v>
      </c>
      <c r="G4" s="12" t="s">
        <v>86</v>
      </c>
    </row>
    <row r="5" customFormat="false" ht="15" hidden="false" customHeight="true" outlineLevel="0" collapsed="false">
      <c r="A5" s="5" t="s">
        <v>307</v>
      </c>
      <c r="B5" s="65" t="s">
        <v>308</v>
      </c>
      <c r="C5" s="66"/>
      <c r="D5" s="66" t="s">
        <v>309</v>
      </c>
      <c r="E5" s="66" t="s">
        <v>309</v>
      </c>
      <c r="F5" s="66"/>
      <c r="G5" s="67" t="s">
        <v>310</v>
      </c>
    </row>
    <row r="6" customFormat="false" ht="15" hidden="false" customHeight="true" outlineLevel="0" collapsed="false">
      <c r="A6" s="5" t="s">
        <v>311</v>
      </c>
      <c r="B6" s="65" t="s">
        <v>312</v>
      </c>
      <c r="C6" s="66" t="s">
        <v>309</v>
      </c>
      <c r="D6" s="66"/>
      <c r="E6" s="66"/>
      <c r="F6" s="66"/>
      <c r="G6" s="67" t="s">
        <v>313</v>
      </c>
    </row>
    <row r="7" customFormat="false" ht="15" hidden="false" customHeight="true" outlineLevel="0" collapsed="false">
      <c r="A7" s="5" t="s">
        <v>314</v>
      </c>
      <c r="B7" s="65" t="s">
        <v>315</v>
      </c>
      <c r="C7" s="66" t="s">
        <v>309</v>
      </c>
      <c r="D7" s="66"/>
      <c r="E7" s="66"/>
      <c r="F7" s="66"/>
      <c r="G7" s="67" t="s">
        <v>316</v>
      </c>
    </row>
    <row r="8" customFormat="false" ht="15" hidden="false" customHeight="true" outlineLevel="0" collapsed="false">
      <c r="A8" s="5" t="s">
        <v>317</v>
      </c>
      <c r="B8" s="65" t="s">
        <v>318</v>
      </c>
      <c r="C8" s="66"/>
      <c r="D8" s="66" t="s">
        <v>309</v>
      </c>
      <c r="E8" s="66"/>
      <c r="F8" s="66"/>
      <c r="G8" s="67" t="s">
        <v>319</v>
      </c>
    </row>
    <row r="9" customFormat="false" ht="21.75" hidden="false" customHeight="true" outlineLevel="0" collapsed="false">
      <c r="A9" s="5" t="s">
        <v>320</v>
      </c>
      <c r="B9" s="65" t="s">
        <v>321</v>
      </c>
      <c r="C9" s="66"/>
      <c r="D9" s="66" t="s">
        <v>309</v>
      </c>
      <c r="E9" s="66"/>
      <c r="F9" s="66" t="s">
        <v>309</v>
      </c>
      <c r="G9" s="67" t="s">
        <v>322</v>
      </c>
    </row>
    <row r="10" customFormat="false" ht="15" hidden="false" customHeight="true" outlineLevel="0" collapsed="false">
      <c r="A10" s="5" t="s">
        <v>323</v>
      </c>
      <c r="B10" s="65" t="s">
        <v>324</v>
      </c>
      <c r="C10" s="66"/>
      <c r="D10" s="66" t="s">
        <v>309</v>
      </c>
      <c r="E10" s="66" t="s">
        <v>309</v>
      </c>
      <c r="F10" s="66"/>
      <c r="G10" s="67" t="s">
        <v>325</v>
      </c>
    </row>
    <row r="11" customFormat="false" ht="15" hidden="false" customHeight="true" outlineLevel="0" collapsed="false">
      <c r="A11" s="5" t="s">
        <v>326</v>
      </c>
      <c r="B11" s="65" t="s">
        <v>327</v>
      </c>
      <c r="C11" s="66"/>
      <c r="D11" s="66" t="s">
        <v>309</v>
      </c>
      <c r="E11" s="66"/>
      <c r="F11" s="66" t="s">
        <v>309</v>
      </c>
      <c r="G11" s="67" t="s">
        <v>328</v>
      </c>
    </row>
    <row r="12" customFormat="false" ht="15" hidden="false" customHeight="true" outlineLevel="0" collapsed="false">
      <c r="A12" s="5" t="s">
        <v>329</v>
      </c>
      <c r="B12" s="65" t="s">
        <v>330</v>
      </c>
      <c r="C12" s="66"/>
      <c r="D12" s="66" t="s">
        <v>309</v>
      </c>
      <c r="E12" s="66"/>
      <c r="F12" s="66"/>
      <c r="G12" s="67" t="s">
        <v>331</v>
      </c>
    </row>
    <row r="13" customFormat="false" ht="15" hidden="false" customHeight="true" outlineLevel="0" collapsed="false">
      <c r="A13" s="5" t="s">
        <v>332</v>
      </c>
      <c r="B13" s="65" t="s">
        <v>333</v>
      </c>
      <c r="C13" s="66"/>
      <c r="D13" s="66" t="s">
        <v>309</v>
      </c>
      <c r="E13" s="66"/>
      <c r="F13" s="66"/>
      <c r="G13" s="67" t="s">
        <v>334</v>
      </c>
    </row>
    <row r="14" customFormat="false" ht="15" hidden="false" customHeight="true" outlineLevel="0" collapsed="false">
      <c r="A14" s="5" t="s">
        <v>335</v>
      </c>
      <c r="B14" s="65" t="s">
        <v>336</v>
      </c>
      <c r="C14" s="66"/>
      <c r="D14" s="66" t="s">
        <v>309</v>
      </c>
      <c r="E14" s="66"/>
      <c r="F14" s="66"/>
      <c r="G14" s="67" t="s">
        <v>337</v>
      </c>
    </row>
    <row r="15" customFormat="false" ht="15" hidden="false" customHeight="true" outlineLevel="0" collapsed="false">
      <c r="A15" s="5" t="s">
        <v>338</v>
      </c>
      <c r="B15" s="65" t="s">
        <v>339</v>
      </c>
      <c r="C15" s="66"/>
      <c r="D15" s="66" t="s">
        <v>309</v>
      </c>
      <c r="E15" s="66"/>
      <c r="F15" s="66"/>
      <c r="G15" s="67" t="s">
        <v>340</v>
      </c>
    </row>
    <row r="16" customFormat="false" ht="15" hidden="false" customHeight="true" outlineLevel="0" collapsed="false">
      <c r="A16" s="5" t="s">
        <v>341</v>
      </c>
      <c r="B16" s="65" t="s">
        <v>342</v>
      </c>
      <c r="C16" s="66"/>
      <c r="D16" s="66"/>
      <c r="E16" s="66" t="s">
        <v>309</v>
      </c>
      <c r="F16" s="66" t="s">
        <v>309</v>
      </c>
      <c r="G16" s="67" t="s">
        <v>343</v>
      </c>
    </row>
    <row r="17" customFormat="false" ht="15" hidden="false" customHeight="true" outlineLevel="0" collapsed="false">
      <c r="A17" s="5" t="s">
        <v>344</v>
      </c>
      <c r="B17" s="65" t="s">
        <v>345</v>
      </c>
      <c r="C17" s="66"/>
      <c r="D17" s="66"/>
      <c r="E17" s="66" t="s">
        <v>309</v>
      </c>
      <c r="F17" s="66"/>
      <c r="G17" s="67" t="s">
        <v>346</v>
      </c>
    </row>
    <row r="18" customFormat="false" ht="15" hidden="false" customHeight="true" outlineLevel="0" collapsed="false">
      <c r="A18" s="5" t="s">
        <v>347</v>
      </c>
      <c r="B18" s="65" t="s">
        <v>348</v>
      </c>
      <c r="C18" s="66"/>
      <c r="D18" s="66"/>
      <c r="E18" s="66" t="s">
        <v>309</v>
      </c>
      <c r="F18" s="66"/>
      <c r="G18" s="67" t="s">
        <v>349</v>
      </c>
    </row>
    <row r="19" customFormat="false" ht="15" hidden="false" customHeight="true" outlineLevel="0" collapsed="false">
      <c r="A19" s="5" t="s">
        <v>350</v>
      </c>
      <c r="B19" s="65" t="s">
        <v>351</v>
      </c>
      <c r="C19" s="66"/>
      <c r="D19" s="66"/>
      <c r="E19" s="66"/>
      <c r="F19" s="66" t="s">
        <v>309</v>
      </c>
      <c r="G19" s="67" t="s">
        <v>352</v>
      </c>
    </row>
    <row r="20" customFormat="false" ht="15" hidden="false" customHeight="true" outlineLevel="0" collapsed="false">
      <c r="A20" s="68" t="s">
        <v>353</v>
      </c>
      <c r="B20" s="69" t="s">
        <v>354</v>
      </c>
      <c r="D20" s="70" t="s">
        <v>309</v>
      </c>
      <c r="F20" s="70" t="s">
        <v>309</v>
      </c>
      <c r="G20" s="55" t="s">
        <v>355</v>
      </c>
    </row>
    <row r="21" customFormat="false" ht="15" hidden="false" customHeight="true" outlineLevel="0" collapsed="false">
      <c r="A21" s="68" t="s">
        <v>356</v>
      </c>
      <c r="B21" s="69" t="s">
        <v>357</v>
      </c>
      <c r="G21" s="55" t="s">
        <v>358</v>
      </c>
    </row>
    <row r="22" customFormat="false" ht="15" hidden="false" customHeight="true" outlineLevel="0" collapsed="false">
      <c r="A22" s="68" t="s">
        <v>359</v>
      </c>
      <c r="B22" s="69" t="s">
        <v>360</v>
      </c>
      <c r="G22" s="55" t="s">
        <v>361</v>
      </c>
    </row>
    <row r="23" customFormat="false" ht="15" hidden="false" customHeight="true" outlineLevel="0" collapsed="false">
      <c r="A23" s="68" t="s">
        <v>362</v>
      </c>
      <c r="B23" s="69" t="s">
        <v>363</v>
      </c>
      <c r="G23" s="55" t="s">
        <v>364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1" t="s">
        <v>365</v>
      </c>
    </row>
    <row r="26" customFormat="false" ht="15" hidden="false" customHeight="true" outlineLevel="0" collapsed="false">
      <c r="A26" s="3" t="s">
        <v>366</v>
      </c>
    </row>
    <row r="27" customFormat="false" ht="15" hidden="false" customHeight="true" outlineLevel="0" collapsed="false">
      <c r="A27" s="3" t="s">
        <v>367</v>
      </c>
    </row>
    <row r="28" customFormat="false" ht="15" hidden="false" customHeight="true" outlineLevel="0" collapsed="false">
      <c r="A28" s="3" t="s">
        <v>368</v>
      </c>
    </row>
    <row r="29" customFormat="false" ht="15" hidden="false" customHeight="true" outlineLevel="0" collapsed="false">
      <c r="A29" s="72" t="s">
        <v>369</v>
      </c>
      <c r="B29" s="72" t="s">
        <v>370</v>
      </c>
    </row>
    <row r="30" customFormat="false" ht="15" hidden="false" customHeight="true" outlineLevel="0" collapsed="false">
      <c r="A30" s="72" t="s">
        <v>68</v>
      </c>
      <c r="B30" s="72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372</v>
      </c>
      <c r="H1" s="56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376</v>
      </c>
      <c r="C7" s="32" t="s">
        <v>377</v>
      </c>
      <c r="D7" s="33" t="s">
        <v>378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98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8" t="n">
        <v>0.56</v>
      </c>
      <c r="M7" s="62" t="s">
        <v>379</v>
      </c>
    </row>
    <row r="8" customFormat="false" ht="15" hidden="false" customHeight="true" outlineLevel="0" collapsed="false">
      <c r="A8" s="33" t="n">
        <v>2</v>
      </c>
      <c r="B8" s="5" t="s">
        <v>380</v>
      </c>
      <c r="C8" s="32" t="s">
        <v>381</v>
      </c>
      <c r="D8" s="33" t="s">
        <v>179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0.56</v>
      </c>
      <c r="M8" s="62" t="s">
        <v>382</v>
      </c>
    </row>
    <row r="9" customFormat="false" ht="15" hidden="false" customHeight="true" outlineLevel="0" collapsed="false">
      <c r="A9" s="33" t="n">
        <v>3</v>
      </c>
      <c r="B9" s="5" t="s">
        <v>383</v>
      </c>
      <c r="C9" s="32" t="s">
        <v>384</v>
      </c>
      <c r="D9" s="33" t="s">
        <v>94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90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8" t="n">
        <v>0.65</v>
      </c>
      <c r="M9" s="62" t="s">
        <v>385</v>
      </c>
    </row>
    <row r="10" customFormat="false" ht="15" hidden="false" customHeight="true" outlineLevel="0" collapsed="false">
      <c r="A10" s="33" t="n">
        <v>4</v>
      </c>
      <c r="B10" s="5" t="s">
        <v>386</v>
      </c>
      <c r="C10" s="32" t="s">
        <v>387</v>
      </c>
      <c r="D10" s="33" t="s">
        <v>378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8" t="n">
        <v>0.55</v>
      </c>
      <c r="M10" s="62" t="s">
        <v>388</v>
      </c>
    </row>
    <row r="11" customFormat="false" ht="15" hidden="false" customHeight="true" outlineLevel="0" collapsed="false">
      <c r="A11" s="33" t="n">
        <v>5</v>
      </c>
      <c r="B11" s="5" t="s">
        <v>389</v>
      </c>
      <c r="C11" s="32" t="s">
        <v>390</v>
      </c>
      <c r="D11" s="33" t="s">
        <v>94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7" t="s">
        <v>90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8" t="n">
        <v>0.6</v>
      </c>
      <c r="M11" s="62" t="s">
        <v>391</v>
      </c>
    </row>
    <row r="12" customFormat="false" ht="15" hidden="false" customHeight="true" outlineLevel="0" collapsed="false">
      <c r="A12" s="33" t="n">
        <v>6</v>
      </c>
      <c r="B12" s="5" t="s">
        <v>392</v>
      </c>
      <c r="C12" s="32" t="s">
        <v>393</v>
      </c>
      <c r="D12" s="33" t="s">
        <v>94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7" t="s">
        <v>90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8" t="n">
        <v>0.58</v>
      </c>
      <c r="M12" s="62" t="s">
        <v>394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396</v>
      </c>
      <c r="D13" s="33" t="s">
        <v>117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8" t="n">
        <v>0.12</v>
      </c>
      <c r="M13" s="62" t="s">
        <v>397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3"/>
      <c r="J14" s="49" t="n">
        <f aca="false">SUM(J7:J13)</f>
        <v>701.846509693851</v>
      </c>
      <c r="K14" s="50" t="n">
        <f aca="false">SUM(K7:K13)</f>
        <v>-298.153490306149</v>
      </c>
      <c r="L14" s="59" t="n">
        <f aca="false">SUM(L7:L13)</f>
        <v>3.62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129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245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246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5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399</v>
      </c>
      <c r="H1" s="56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403</v>
      </c>
      <c r="C7" s="32" t="s">
        <v>287</v>
      </c>
      <c r="D7" s="33" t="s">
        <v>190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0.18</v>
      </c>
      <c r="M7" s="62" t="s">
        <v>404</v>
      </c>
    </row>
    <row r="8" customFormat="false" ht="15" hidden="false" customHeight="true" outlineLevel="0" collapsed="false">
      <c r="A8" s="33" t="n">
        <v>2</v>
      </c>
      <c r="B8" s="5" t="s">
        <v>405</v>
      </c>
      <c r="C8" s="32" t="s">
        <v>287</v>
      </c>
      <c r="D8" s="33" t="s">
        <v>190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0.07</v>
      </c>
      <c r="M8" s="62" t="s">
        <v>406</v>
      </c>
    </row>
    <row r="9" customFormat="false" ht="15" hidden="false" customHeight="true" outlineLevel="0" collapsed="false">
      <c r="A9" s="33" t="n">
        <v>3</v>
      </c>
      <c r="B9" s="5" t="s">
        <v>407</v>
      </c>
      <c r="C9" s="32" t="s">
        <v>287</v>
      </c>
      <c r="D9" s="33" t="s">
        <v>190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0.07</v>
      </c>
      <c r="M9" s="62" t="s">
        <v>408</v>
      </c>
    </row>
    <row r="10" customFormat="false" ht="15" hidden="false" customHeight="true" outlineLevel="0" collapsed="false">
      <c r="A10" s="33" t="n">
        <v>4</v>
      </c>
      <c r="B10" s="5" t="s">
        <v>409</v>
      </c>
      <c r="C10" s="32" t="s">
        <v>287</v>
      </c>
      <c r="D10" s="33" t="s">
        <v>190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0.055</v>
      </c>
      <c r="M10" s="62" t="s">
        <v>410</v>
      </c>
    </row>
    <row r="11" customFormat="false" ht="15" hidden="false" customHeight="true" outlineLevel="0" collapsed="false">
      <c r="A11" s="33" t="n">
        <v>5</v>
      </c>
      <c r="B11" s="5" t="s">
        <v>411</v>
      </c>
      <c r="C11" s="32" t="s">
        <v>287</v>
      </c>
      <c r="D11" s="33" t="s">
        <v>190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0.045</v>
      </c>
      <c r="M11" s="62" t="s">
        <v>412</v>
      </c>
    </row>
    <row r="12" customFormat="false" ht="15" hidden="false" customHeight="true" outlineLevel="0" collapsed="false">
      <c r="A12" s="33" t="n">
        <v>6</v>
      </c>
      <c r="B12" s="5" t="s">
        <v>413</v>
      </c>
      <c r="C12" s="32" t="s">
        <v>287</v>
      </c>
      <c r="D12" s="33" t="s">
        <v>190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0.025</v>
      </c>
      <c r="M12" s="62" t="s">
        <v>414</v>
      </c>
    </row>
    <row r="13" customFormat="false" ht="15" hidden="false" customHeight="true" outlineLevel="0" collapsed="false">
      <c r="A13" s="20" t="n">
        <v>7</v>
      </c>
      <c r="B13" s="21" t="s">
        <v>415</v>
      </c>
      <c r="C13" s="74" t="s">
        <v>416</v>
      </c>
      <c r="D13" s="20" t="s">
        <v>94</v>
      </c>
      <c r="E13" s="75" t="n">
        <v>-146</v>
      </c>
      <c r="F13" s="76" t="n">
        <v>120</v>
      </c>
      <c r="G13" s="77" t="n">
        <f aca="false">IF(E13&gt;0,F13*E13/100,F13*100/ABS(E13))</f>
        <v>82.1917808219178</v>
      </c>
      <c r="H13" s="77" t="n">
        <f aca="false">F13+G13</f>
        <v>202.191780821918</v>
      </c>
      <c r="I13" s="57" t="s">
        <v>123</v>
      </c>
      <c r="J13" s="77" t="n">
        <f aca="false">IF(I13="Win",F13+G13,IF(I13="Push",F13,IF(I13="Loss",0,0)))</f>
        <v>0</v>
      </c>
      <c r="K13" s="78" t="n">
        <f aca="false">IF(I13="Pending",0,J13-F13)</f>
        <v>0</v>
      </c>
      <c r="L13" s="79" t="n">
        <v>0.62</v>
      </c>
      <c r="M13" s="80" t="s">
        <v>417</v>
      </c>
    </row>
    <row r="14" customFormat="false" ht="15" hidden="false" customHeight="true" outlineLevel="0" collapsed="false">
      <c r="A14" s="33" t="n">
        <v>8</v>
      </c>
      <c r="B14" s="5" t="s">
        <v>418</v>
      </c>
      <c r="C14" s="32" t="s">
        <v>416</v>
      </c>
      <c r="D14" s="33" t="s">
        <v>94</v>
      </c>
      <c r="E14" s="39" t="n">
        <v>158</v>
      </c>
      <c r="F14" s="81" t="n">
        <v>90</v>
      </c>
      <c r="G14" s="82" t="n">
        <f aca="false">IF(E14&gt;0,F14*E14/100,F14*100/ABS(E14))</f>
        <v>142.2</v>
      </c>
      <c r="H14" s="82" t="n">
        <f aca="false">F14+G14</f>
        <v>232.2</v>
      </c>
      <c r="I14" s="57" t="s">
        <v>123</v>
      </c>
      <c r="J14" s="82" t="n">
        <f aca="false">IF(I14="Win",F14+G14,IF(I14="Push",F14,IF(I14="Loss",0,0)))</f>
        <v>0</v>
      </c>
      <c r="K14" s="83" t="n">
        <f aca="false">IF(I14="Pending",0,J14-F14)</f>
        <v>0</v>
      </c>
      <c r="L14" s="73" t="n">
        <v>0.44</v>
      </c>
      <c r="M14" s="62" t="s">
        <v>419</v>
      </c>
    </row>
    <row r="15" customFormat="false" ht="15" hidden="false" customHeight="false" outlineLevel="0" collapsed="false">
      <c r="A15" s="33" t="n">
        <v>9</v>
      </c>
      <c r="B15" s="5" t="s">
        <v>420</v>
      </c>
      <c r="C15" s="32" t="s">
        <v>416</v>
      </c>
      <c r="D15" s="33" t="s">
        <v>94</v>
      </c>
      <c r="E15" s="39" t="n">
        <v>172</v>
      </c>
      <c r="F15" s="81" t="n">
        <v>80</v>
      </c>
      <c r="G15" s="82" t="n">
        <f aca="false">IF(E15&gt;0,F15*E15/100,F15*100/ABS(E15))</f>
        <v>137.6</v>
      </c>
      <c r="H15" s="82" t="n">
        <f aca="false">F15+G15</f>
        <v>217.6</v>
      </c>
      <c r="I15" s="57" t="s">
        <v>123</v>
      </c>
      <c r="J15" s="82" t="n">
        <f aca="false">IF(I15="Win",F15+G15,IF(I15="Push",F15,IF(I15="Loss",0,0)))</f>
        <v>0</v>
      </c>
      <c r="K15" s="83" t="n">
        <f aca="false">IF(I15="Pending",0,J15-F15)</f>
        <v>0</v>
      </c>
      <c r="L15" s="73" t="n">
        <v>0.42</v>
      </c>
      <c r="M15" s="62" t="s">
        <v>421</v>
      </c>
    </row>
    <row r="16" customFormat="false" ht="15" hidden="false" customHeight="true" outlineLevel="0" collapsed="false">
      <c r="A16" s="33" t="n">
        <v>10</v>
      </c>
      <c r="B16" s="5" t="s">
        <v>422</v>
      </c>
      <c r="C16" s="32" t="s">
        <v>416</v>
      </c>
      <c r="D16" s="33" t="s">
        <v>94</v>
      </c>
      <c r="E16" s="39" t="n">
        <v>164</v>
      </c>
      <c r="F16" s="81" t="n">
        <v>70</v>
      </c>
      <c r="G16" s="82" t="n">
        <f aca="false">IF(E16&gt;0,F16*E16/100,F16*100/ABS(E16))</f>
        <v>114.8</v>
      </c>
      <c r="H16" s="82" t="n">
        <f aca="false">F16+G16</f>
        <v>184.8</v>
      </c>
      <c r="I16" s="57" t="s">
        <v>123</v>
      </c>
      <c r="J16" s="82" t="n">
        <f aca="false">IF(I16="Win",F16+G16,IF(I16="Push",F16,IF(I16="Loss",0,0)))</f>
        <v>0</v>
      </c>
      <c r="K16" s="83" t="n">
        <f aca="false">IF(I16="Pending",0,J16-F16)</f>
        <v>0</v>
      </c>
      <c r="L16" s="73" t="n">
        <v>0.42</v>
      </c>
      <c r="M16" s="62" t="s">
        <v>423</v>
      </c>
    </row>
    <row r="17" customFormat="false" ht="15" hidden="false" customHeight="true" outlineLevel="0" collapsed="false">
      <c r="A17" s="33" t="n">
        <v>11</v>
      </c>
      <c r="B17" s="5" t="s">
        <v>424</v>
      </c>
      <c r="C17" s="84" t="s">
        <v>416</v>
      </c>
      <c r="D17" s="33" t="s">
        <v>94</v>
      </c>
      <c r="E17" s="39" t="n">
        <v>280</v>
      </c>
      <c r="F17" s="81" t="n">
        <v>40</v>
      </c>
      <c r="G17" s="82" t="n">
        <f aca="false">IF(E17&gt;0,F17*E17/100,F17*100/ABS(E17))</f>
        <v>112</v>
      </c>
      <c r="H17" s="82" t="n">
        <f aca="false">F17+G17</f>
        <v>152</v>
      </c>
      <c r="I17" s="57" t="s">
        <v>123</v>
      </c>
      <c r="J17" s="82" t="n">
        <f aca="false">IF(I17="Win",F17+G17,IF(I17="Push",F17,IF(I17="Loss",0,0)))</f>
        <v>0</v>
      </c>
      <c r="K17" s="83" t="n">
        <f aca="false">IF(I17="Pending",0,J17-F17)</f>
        <v>0</v>
      </c>
      <c r="L17" s="73" t="n">
        <v>0.3</v>
      </c>
      <c r="M17" s="62" t="s">
        <v>425</v>
      </c>
    </row>
    <row r="18" customFormat="false" ht="15" hidden="false" customHeight="true" outlineLevel="0" collapsed="false">
      <c r="B18" s="85" t="s">
        <v>426</v>
      </c>
      <c r="C18" s="51" t="n">
        <f aca="false">COUNTIF(I7:I12,"Loss")</f>
        <v>0</v>
      </c>
      <c r="F18" s="86" t="n">
        <f aca="false">SUM(F7:F17)</f>
        <v>1000</v>
      </c>
      <c r="G18" s="86" t="n">
        <f aca="false">SUM(G7:G17)</f>
        <v>10748.7917808219</v>
      </c>
      <c r="H18" s="86" t="n">
        <f aca="false">SUM(H7:H17)</f>
        <v>11748.7917808219</v>
      </c>
      <c r="J18" s="86" t="n">
        <f aca="false">SUM(J7:J17)</f>
        <v>0</v>
      </c>
      <c r="K18" s="86" t="n">
        <f aca="false">SUM(K7:K17)</f>
        <v>0</v>
      </c>
      <c r="L18" s="87" t="n">
        <f aca="false">SUM(L7:L17)</f>
        <v>2.645</v>
      </c>
    </row>
    <row r="19" customFormat="false" ht="15" hidden="false" customHeight="true" outlineLevel="0" collapsed="false">
      <c r="B19" s="5" t="s">
        <v>123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124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4" t="n">
        <f aca="false">SUM(F7:F12)</f>
        <v>600</v>
      </c>
    </row>
    <row r="22" customFormat="false" ht="15" hidden="false" customHeight="true" outlineLevel="0" collapsed="false">
      <c r="B22" s="5" t="s">
        <v>126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127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2">
      <formula>AND(ISNUMBER(K7),K7&gt;0)</formula>
    </cfRule>
    <cfRule type="expression" priority="7" aboveAverage="0" equalAverage="0" bottom="0" percent="0" rank="0" text="" dxfId="3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429</v>
      </c>
      <c r="H1" s="88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433</v>
      </c>
      <c r="C7" s="32" t="s">
        <v>287</v>
      </c>
      <c r="D7" s="33" t="s">
        <v>190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-220</v>
      </c>
      <c r="L7" s="73" t="n">
        <v>0.27</v>
      </c>
      <c r="M7" s="62" t="s">
        <v>434</v>
      </c>
    </row>
    <row r="8" customFormat="false" ht="15" hidden="false" customHeight="true" outlineLevel="0" collapsed="false">
      <c r="A8" s="33" t="n">
        <v>2</v>
      </c>
      <c r="B8" s="5" t="s">
        <v>435</v>
      </c>
      <c r="C8" s="32" t="s">
        <v>287</v>
      </c>
      <c r="D8" s="33" t="s">
        <v>190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-130</v>
      </c>
      <c r="L8" s="73" t="n">
        <v>0.18</v>
      </c>
      <c r="M8" s="62" t="s">
        <v>436</v>
      </c>
    </row>
    <row r="9" customFormat="false" ht="15" hidden="false" customHeight="true" outlineLevel="0" collapsed="false">
      <c r="A9" s="33" t="n">
        <v>3</v>
      </c>
      <c r="B9" s="5" t="s">
        <v>437</v>
      </c>
      <c r="C9" s="32" t="s">
        <v>438</v>
      </c>
      <c r="D9" s="33" t="s">
        <v>94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-180</v>
      </c>
      <c r="L9" s="73" t="n">
        <v>0.6</v>
      </c>
      <c r="M9" s="62" t="s">
        <v>439</v>
      </c>
    </row>
    <row r="10" customFormat="false" ht="15" hidden="false" customHeight="true" outlineLevel="0" collapsed="false">
      <c r="A10" s="33" t="n">
        <v>4</v>
      </c>
      <c r="B10" s="5" t="s">
        <v>440</v>
      </c>
      <c r="C10" s="32" t="s">
        <v>441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90</v>
      </c>
      <c r="J10" s="41" t="n">
        <f aca="false">IF(I10="Win",F10+G10,IF(I10="Push",F10,IF(I10="Loss",0,0)))</f>
        <v>286.363636363636</v>
      </c>
      <c r="K10" s="43" t="n">
        <f aca="false">IF(I10="Pending",0,J10-F10)</f>
        <v>136.363636363636</v>
      </c>
      <c r="L10" s="73" t="n">
        <v>0.58</v>
      </c>
      <c r="M10" s="62" t="s">
        <v>442</v>
      </c>
    </row>
    <row r="11" customFormat="false" ht="15" hidden="false" customHeight="true" outlineLevel="0" collapsed="false">
      <c r="A11" s="33" t="n">
        <v>5</v>
      </c>
      <c r="B11" s="5" t="s">
        <v>443</v>
      </c>
      <c r="C11" s="32" t="s">
        <v>438</v>
      </c>
      <c r="D11" s="33" t="s">
        <v>94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-120</v>
      </c>
      <c r="L11" s="73" t="n">
        <v>0.57</v>
      </c>
      <c r="M11" s="62" t="s">
        <v>444</v>
      </c>
    </row>
    <row r="12" customFormat="false" ht="15" hidden="false" customHeight="true" outlineLevel="0" collapsed="false">
      <c r="A12" s="33" t="n">
        <v>6</v>
      </c>
      <c r="B12" s="5" t="s">
        <v>445</v>
      </c>
      <c r="C12" s="32" t="s">
        <v>446</v>
      </c>
      <c r="D12" s="33" t="s">
        <v>94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7" t="s">
        <v>90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3" t="n">
        <v>0.56</v>
      </c>
      <c r="M12" s="62" t="s">
        <v>447</v>
      </c>
    </row>
    <row r="13" customFormat="false" ht="15" hidden="false" customHeight="true" outlineLevel="0" collapsed="false">
      <c r="A13" s="33" t="n">
        <v>7</v>
      </c>
      <c r="B13" s="5" t="s">
        <v>448</v>
      </c>
      <c r="C13" s="32" t="s">
        <v>287</v>
      </c>
      <c r="D13" s="33" t="s">
        <v>190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0.07</v>
      </c>
      <c r="M13" s="62" t="s">
        <v>449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450</v>
      </c>
      <c r="H1" s="89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454</v>
      </c>
      <c r="C7" s="32" t="s">
        <v>455</v>
      </c>
      <c r="D7" s="33" t="s">
        <v>378</v>
      </c>
      <c r="E7" s="39" t="n">
        <v>-105</v>
      </c>
      <c r="F7" s="40" t="n">
        <v>185</v>
      </c>
      <c r="G7" s="41" t="n">
        <f aca="false">IF(E7&gt;0,F7*E7/100,F7*100/ABS(E7))</f>
        <v>176.190476190476</v>
      </c>
      <c r="H7" s="41" t="n">
        <f aca="false">F7+G7</f>
        <v>361.190476190476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0.57</v>
      </c>
      <c r="M7" s="62" t="s">
        <v>456</v>
      </c>
    </row>
    <row r="8" customFormat="false" ht="15" hidden="false" customHeight="true" outlineLevel="0" collapsed="false">
      <c r="A8" s="33" t="n">
        <v>2</v>
      </c>
      <c r="B8" s="5" t="s">
        <v>457</v>
      </c>
      <c r="C8" s="32" t="s">
        <v>458</v>
      </c>
      <c r="D8" s="33" t="s">
        <v>179</v>
      </c>
      <c r="E8" s="39" t="n">
        <v>-115</v>
      </c>
      <c r="F8" s="40" t="n">
        <v>175</v>
      </c>
      <c r="G8" s="41" t="n">
        <f aca="false">IF(E8&gt;0,F8*E8/100,F8*100/ABS(E8))</f>
        <v>152.173913043478</v>
      </c>
      <c r="H8" s="41" t="n">
        <f aca="false">F8+G8</f>
        <v>327.173913043478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0.54</v>
      </c>
      <c r="M8" s="62" t="s">
        <v>459</v>
      </c>
    </row>
    <row r="9" customFormat="false" ht="15" hidden="false" customHeight="true" outlineLevel="0" collapsed="false">
      <c r="A9" s="33" t="n">
        <v>3</v>
      </c>
      <c r="B9" s="5" t="s">
        <v>460</v>
      </c>
      <c r="C9" s="32" t="s">
        <v>461</v>
      </c>
      <c r="D9" s="33" t="s">
        <v>179</v>
      </c>
      <c r="E9" s="39" t="n">
        <v>-110</v>
      </c>
      <c r="F9" s="40" t="n">
        <v>160</v>
      </c>
      <c r="G9" s="41" t="n">
        <f aca="false">IF(E9&gt;0,F9*E9/100,F9*100/ABS(E9))</f>
        <v>145.454545454545</v>
      </c>
      <c r="H9" s="41" t="n">
        <f aca="false">F9+G9</f>
        <v>305.454545454546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0.55</v>
      </c>
      <c r="M9" s="62" t="s">
        <v>462</v>
      </c>
    </row>
    <row r="10" customFormat="false" ht="15" hidden="false" customHeight="true" outlineLevel="0" collapsed="false">
      <c r="A10" s="33" t="n">
        <v>4</v>
      </c>
      <c r="B10" s="5" t="s">
        <v>463</v>
      </c>
      <c r="C10" s="32" t="s">
        <v>393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0.54</v>
      </c>
      <c r="M10" s="62" t="s">
        <v>464</v>
      </c>
    </row>
    <row r="11" customFormat="false" ht="15" hidden="false" customHeight="true" outlineLevel="0" collapsed="false">
      <c r="A11" s="33" t="n">
        <v>5</v>
      </c>
      <c r="B11" s="5" t="s">
        <v>465</v>
      </c>
      <c r="C11" s="32" t="s">
        <v>466</v>
      </c>
      <c r="D11" s="33" t="s">
        <v>89</v>
      </c>
      <c r="E11" s="39" t="n">
        <v>-130</v>
      </c>
      <c r="F11" s="40" t="n">
        <v>140</v>
      </c>
      <c r="G11" s="41" t="n">
        <f aca="false">IF(E11&gt;0,F11*E11/100,F11*100/ABS(E11))</f>
        <v>107.692307692308</v>
      </c>
      <c r="H11" s="41" t="n">
        <f aca="false">F11+G11</f>
        <v>247.692307692308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0.58</v>
      </c>
      <c r="M11" s="62" t="s">
        <v>467</v>
      </c>
    </row>
    <row r="12" customFormat="false" ht="15" hidden="false" customHeight="true" outlineLevel="0" collapsed="false">
      <c r="A12" s="33" t="n">
        <v>6</v>
      </c>
      <c r="B12" s="5" t="s">
        <v>468</v>
      </c>
      <c r="C12" s="32" t="s">
        <v>469</v>
      </c>
      <c r="D12" s="33" t="s">
        <v>378</v>
      </c>
      <c r="E12" s="39" t="n">
        <v>-110</v>
      </c>
      <c r="F12" s="40" t="n">
        <v>115</v>
      </c>
      <c r="G12" s="41" t="n">
        <f aca="false">IF(E12&gt;0,F12*E12/100,F12*100/ABS(E12))</f>
        <v>104.545454545455</v>
      </c>
      <c r="H12" s="41" t="n">
        <f aca="false">F12+G12</f>
        <v>219.545454545455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0.52</v>
      </c>
      <c r="M12" s="62" t="s">
        <v>470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471</v>
      </c>
      <c r="D13" s="33" t="s">
        <v>117</v>
      </c>
      <c r="E13" s="39" t="n">
        <v>1133</v>
      </c>
      <c r="F13" s="40" t="n">
        <v>75</v>
      </c>
      <c r="G13" s="41" t="n">
        <f aca="false">IF(E13&gt;0,F13*E13/100,F13*100/ABS(E13))</f>
        <v>849.75</v>
      </c>
      <c r="H13" s="41" t="n">
        <f aca="false">F13+G13</f>
        <v>924.75</v>
      </c>
      <c r="I13" s="57" t="s">
        <v>123</v>
      </c>
      <c r="J13" s="41" t="n">
        <f aca="false">IF(I13="Win",F13+G13,IF(I13="Push",F13,IF(I13="Loss",0,0)))</f>
        <v>0</v>
      </c>
      <c r="K13" s="43" t="n">
        <f aca="false">IF(I13="Pending",0,J13-F13)</f>
        <v>0</v>
      </c>
      <c r="L13" s="73" t="n">
        <v>0.1</v>
      </c>
      <c r="M13" s="62" t="s">
        <v>472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0</v>
      </c>
      <c r="K14" s="8" t="n">
        <f aca="false">SUM(K7:K13)</f>
        <v>0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2026-07-16T01:28:29Z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