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  <sheet name="The Open" sheetId="8" state="visible" r:id="rId10"/>
    <sheet name="HR Derby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<sst xmlns="http://schemas.openxmlformats.org/spreadsheetml/2006/main" count="723" uniqueCount="437">
  <si>
    <t xml:space="preserve">BETTING TEST ACCOUNT — ROLL-UP DASHBOARD</t>
  </si>
  <si>
    <t xml:space="preserve">Account rules: $5,000 total account · max $1,000 staked per card · max 4 cards active at any time. QUEUED cards hold no money and don't count against the cap. Settled cards archive after 7 days.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</si>
  <si>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</si>
  <si>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</si>
  <si>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</si>
  <si>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</si>
  <si>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</si>
  <si>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</si>
  <si>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</si>
  <si>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</si>
  <si>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</si>
  <si>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SORTED BY NEXT ACTION (settled at bottom)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</si>
  <si>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</si>
  <si>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</si>
  <si>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</si>
  <si>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</si>
  <si>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</si>
  <si>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</si>
  <si>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</si>
  <si>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</si>
  <si>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MLB Home Run Derby</t>
  </si>
  <si>
    <t xml:space="preserve">2026-07-13</t>
  </si>
  <si>
    <t xml:space="preserve">ACTIVE</t>
  </si>
  <si>
    <t xml:space="preserve">World Cup 2026 — Final Four</t>
  </si>
  <si>
    <t xml:space="preserve">Jul 14-19</t>
  </si>
  <si>
    <t xml:space="preserve">The Open Championship (golf)</t>
  </si>
  <si>
    <t xml:space="preserve">Jul 16-19</t>
  </si>
  <si>
    <t xml:space="preserve">Rugby Nations Cup — Final Rd</t>
  </si>
  <si>
    <t xml:space="preserve">2026-07-18</t>
  </si>
  <si>
    <t xml:space="preserve">QUEUED</t>
  </si>
  <si>
    <t xml:space="preserve">NASCAR Quaker State 400</t>
  </si>
  <si>
    <t xml:space="preserve">2026-07-12</t>
  </si>
  <si>
    <t xml:space="preserve">SETTLED</t>
  </si>
  <si>
    <t xml:space="preserve">WNBA Sunday Doubleheader</t>
  </si>
  <si>
    <t xml:space="preserve">MLB Sunday Slate (15 games)</t>
  </si>
  <si>
    <t xml:space="preserve">UFC 329: McGregor vs Holloway 2</t>
  </si>
  <si>
    <t xml:space="preserve">2026-07-11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</si>
  <si>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</si>
  <si>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</si>
  <si>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</si>
  <si>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</si>
  <si>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</si>
  <si>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</si>
  <si>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</si>
  <si>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</si>
  <si>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</si>
  <si>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</si>
  <si>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</si>
  <si>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</si>
  <si>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</si>
  <si>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</si>
  <si>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</si>
  <si>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</si>
  <si>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</si>
  <si>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</si>
  <si>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</si>
  <si>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Test 6 · The Open</t>
  </si>
  <si>
    <t xml:space="preserve">Brooks Koepka outright</t>
  </si>
  <si>
    <t xml:space="preserve">+5000</t>
  </si>
  <si>
    <t xml:space="preserve">Test 7 · Rugby Jul 18</t>
  </si>
  <si>
    <t xml:space="preserve">TBD at finalization</t>
  </si>
  <si>
    <t xml:space="preserve">TBD</t>
  </si>
  <si>
    <t xml:space="preserve">Queued</t>
  </si>
  <si>
    <t xml:space="preserve">Test 8 · HR Derby</t>
  </si>
  <si>
    <t xml:space="preserve">Willson Contreras outright</t>
  </si>
  <si>
    <t xml:space="preserve">+1400</t>
  </si>
  <si>
    <t xml:space="preserve">LONGSHOT HIT RATE</t>
  </si>
  <si>
    <t xml:space="preserve">Note: WC card carries an England hedge, not a longshot — excluded. UFC longshot was $0-stake and missed.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</si>
  <si>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</si>
  <si>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</si>
  <si>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</si>
  <si>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</si>
  <si>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</si>
  <si>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</si>
  <si>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</si>
  <si>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</si>
  <si>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</si>
  <si>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</si>
  <si>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</si>
  <si>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</si>
  <si>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</si>
  <si>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</si>
  <si>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</si>
  <si>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</si>
  <si>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</si>
  <si>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</si>
  <si>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</si>
  <si>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</si>
  <si>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</si>
  <si>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</si>
  <si>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</si>
  <si>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</si>
  <si>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</si>
  <si>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</si>
  <si>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</si>
  <si>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</si>
  <si>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</si>
  <si>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</si>
  <si>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</si>
  <si>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</si>
  <si>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</si>
  <si>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</si>
  <si>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</si>
  <si>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</si>
  <si>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</si>
  <si>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</si>
  <si>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</si>
  <si>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</si>
  <si>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</si>
  <si>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</si>
  <si>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</si>
  <si>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</si>
  <si>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</si>
  <si>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</si>
  <si>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</si>
  <si>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</si>
  <si>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</si>
  <si>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</si>
  <si>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</si>
  <si>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</si>
  <si>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</si>
  <si>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</si>
  <si>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</si>
  <si>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</si>
  <si>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</si>
  <si>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</si>
  <si>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</si>
  <si>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</si>
  <si>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</si>
  <si>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</si>
  <si>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</si>
  <si>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</si>
  <si>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</si>
  <si>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</si>
  <si>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</si>
  <si>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</si>
  <si>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</si>
  <si>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</si>
  <si>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</si>
  <si>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</si>
  <si>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</si>
  <si>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</si>
  <si>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</si>
  <si>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</si>
  <si>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</si>
  <si>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</si>
  <si>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</si>
  <si>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</si>
  <si>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</si>
  <si>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</si>
  <si>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</si>
  <si>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</si>
  <si>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</si>
  <si>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</si>
  <si>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</si>
  <si>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</si>
  <si>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</si>
  <si>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</si>
  <si>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</si>
  <si>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</si>
  <si>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</si>
  <si>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</si>
  <si>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</si>
  <si>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</si>
  <si>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</si>
  <si>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ACTIVE — semis Jul 14-15, final Jul 19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</si>
  <si>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</si>
  <si>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</si>
  <si>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</si>
  <si>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</si>
  <si>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</si>
  <si>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</si>
  <si>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</si>
  <si>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</si>
  <si>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</si>
  <si>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</si>
  <si>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</si>
  <si>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</si>
  <si>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</si>
  <si>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</si>
  <si>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</t>
  </si>
  <si>
    <t xml:space="preserve">Argentina vs England Draw (90')</t>
  </si>
  <si>
    <t xml:space="preserve">SF2 · pairs with Arg ML</t>
  </si>
  <si>
    <t xml:space="preserve">Structured: only England 90' win beats both tickets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</si>
  <si>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</si>
  <si>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</si>
  <si>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</si>
  <si>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</t>
  </si>
  <si>
    <t xml:space="preserve">England to Win World Cup</t>
  </si>
  <si>
    <t xml:space="preserve">Outright · hedge ticket</t>
  </si>
  <si>
    <t xml:space="preserve">Pays if the coin-flip semi goes against our Argentina lean</t>
  </si>
  <si>
    <t xml:space="preserve">2-Leg Parlay</t>
  </si>
  <si>
    <t xml:space="preserve">France to Advance (-144) + Arg/Eng U2.5 (-155)</t>
  </si>
  <si>
    <t xml:space="preserve">Chalk + under · combined ≈ +179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</si>
  <si>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</si>
  <si>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</si>
  <si>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</si>
  <si>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</si>
  <si>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</si>
  <si>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</si>
  <si>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</si>
  <si>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</si>
  <si>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</si>
  <si>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</si>
  <si>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</si>
  <si>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</si>
  <si>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</si>
  <si>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</si>
  <si>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</si>
  <si>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</si>
  <si>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</si>
  <si>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</si>
  <si>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ARCHIVED — settled Jul 12 (3-5, -$197.77)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</si>
  <si>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</si>
  <si>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</si>
  <si>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</si>
  <si>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</si>
  <si>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</si>
  <si>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</si>
  <si>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 · RESULT: SF 3-1 · Lorenzen fade lands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</si>
  <si>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</si>
  <si>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</si>
  <si>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</si>
  <si>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</si>
  <si>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</si>
  <si>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</si>
  <si>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</si>
  <si>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</si>
  <si>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</si>
  <si>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</si>
  <si>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</si>
  <si>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</si>
  <si>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</si>
  <si>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</si>
  <si>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</si>
  <si>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</si>
  <si>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</si>
  <si>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</si>
  <si>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</si>
  <si>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</si>
  <si>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</si>
  <si>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</si>
  <si>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</si>
  <si>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</si>
  <si>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</si>
  <si>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</si>
  <si>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</si>
  <si>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</si>
  <si>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</si>
  <si>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</si>
  <si>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</si>
  <si>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</si>
  <si>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</si>
  <si>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</si>
  <si>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</si>
  <si>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</si>
  <si>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</si>
  <si>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</si>
  <si>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</si>
  <si>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</si>
  <si>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</si>
  <si>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</si>
  <si>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</si>
  <si>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</si>
  <si>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</si>
  <si>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</si>
  <si>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</si>
  <si>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</si>
  <si>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</si>
  <si>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</si>
  <si>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</si>
  <si>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</si>
  <si>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SETTLED — Blaney won in OT ~12:55 AM CT Mon after 3h lightning red flag · card 1-6, net -$434.51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</si>
  <si>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</si>
  <si>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</si>
  <si>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</si>
  <si>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</si>
  <si>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</si>
  <si>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 · WIN — Blaney won the race outright (OT, ~12:55 AM CT Mon); H2H over Byron clinched</t>
  </si>
  <si>
    <t xml:space="preserve">Daniel Suarez Top-5</t>
  </si>
  <si>
    <t xml:space="preserve">Finishing position prop</t>
  </si>
  <si>
    <t xml:space="preserve">Top-5 in 4 of last 6 Atlanta races; biggest % edge on card · LOSS — official top 5: Blaney, Bell, Hocevar, Gibbs, E. Jones; Suárez outside top 5</t>
  </si>
  <si>
    <t xml:space="preserve">Chase Elliott to Win</t>
  </si>
  <si>
    <t xml:space="preserve">Outright winner</t>
  </si>
  <si>
    <t xml:space="preserve">Defending race winner, Georgia native, Chevy won 4 of last 5 here · LOSS — Elliott did not win (Blaney P1)</t>
  </si>
  <si>
    <t xml:space="preserve">Carson Hocevar to Win</t>
  </si>
  <si>
    <t xml:space="preserve">3 straight Atlanta top-10s; elite drafter · LOSS — Hocevar P3; closest of the winner basket</t>
  </si>
  <si>
    <t xml:space="preserve">Brad Keselowski to Win</t>
  </si>
  <si>
    <t xml:space="preserve">2 Atlanta wins, 6 top-3s; CBS model top pick; RFK form · LOSS — Keselowski did not win</t>
  </si>
  <si>
    <t xml:space="preserve">Tyler Reddick to Win</t>
  </si>
  <si>
    <t xml:space="preserve">Drafting ace; Toyota gambled on race trim over qualifying · LOSS — Reddick did not win (P8 per post-race reports)</t>
  </si>
  <si>
    <t xml:space="preserve">Kyle Larson to Win (LONGSHOT)</t>
  </si>
  <si>
    <t xml:space="preserve">Mandatory longshot — best driver at his longest price; P3 start · LOSS — Larson did not win; longshot record now 0-for-4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</si>
  <si>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</si>
  <si>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</si>
  <si>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</si>
  <si>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</si>
  <si>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</si>
  <si>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</si>
  <si>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</si>
  <si>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</si>
  <si>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</si>
  <si>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</si>
  <si>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</si>
  <si>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</si>
  <si>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</si>
  <si>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</si>
  <si>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</si>
  <si>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</si>
  <si>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</si>
  <si>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</si>
  <si>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</si>
  <si>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</si>
  <si>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</si>
  <si>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</si>
  <si>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</si>
  <si>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</si>
  <si>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</si>
  <si>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</si>
  <si>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</si>
  <si>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</si>
  <si>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</si>
  <si>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</si>
  <si>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</si>
  <si>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</si>
  <si>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</si>
  <si>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</si>
  <si>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</si>
  <si>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</si>
  <si>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</si>
  <si>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</si>
  <si>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</si>
  <si>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</si>
  <si>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</si>
  <si>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</si>
  <si>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</si>
  <si>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</si>
  <si>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</si>
  <si>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</si>
  <si>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</si>
  <si>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</si>
  <si>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</si>
  <si>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</si>
  <si>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</si>
  <si>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</si>
  <si>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</si>
  <si>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</si>
  <si>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</si>
  <si>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</si>
  <si>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</si>
  <si>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</si>
  <si>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</si>
  <si>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golfdigest.com</t>
  </si>
  <si>
    <t xml:space="preserve">Golf major picks &amp; player analysis</t>
  </si>
  <si>
    <t xml:space="preserve">T6 Open: 13-best-bets breakdown, form/course fit</t>
  </si>
  <si>
    <t xml:space="preserve">sportsbettingdime.com</t>
  </si>
  <si>
    <t xml:space="preserve">Odds tracking (DraftKings)</t>
  </si>
  <si>
    <t xml:space="preserve">T6 Open: outright board · also WC SF openers</t>
  </si>
  <si>
    <t xml:space="preserve">all.rugby</t>
  </si>
  <si>
    <t xml:space="preserve">Rugby fixtures &amp; results</t>
  </si>
  <si>
    <t xml:space="preserve">T7 Rugby: Nations Cup rounds 1-2 results, Rd 3 fixtures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</si>
  <si>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</si>
  <si>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</si>
  <si>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</si>
  <si>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</si>
  <si>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8 · HR Derby Jul 13</t>
  </si>
  <si>
    <t xml:space="preserve">dknetwork.draftkings.com (outright odds); actionnetwork.com (format, props); vsin.com (props, picks); sports.yahoo.com (event info); mlb.com (schedule)</t>
  </si>
  <si>
    <t xml:space="preserve">TEST 5 — WNBA SUNDAY NIGHT DOUBLEHEADER · JULY 12, 2026</t>
  </si>
  <si>
    <t xml:space="preserve">STATUS: SETTLED — 3-4 (42.9%), -$298.15 · Fever routed Aces 109-75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</si>
  <si>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</si>
  <si>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</si>
  <si>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</si>
  <si>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</si>
  <si>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</si>
  <si>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 · RESULT: DAL 82-79 — won by 3, spread dead</t>
  </si>
  <si>
    <t xml:space="preserve">Sky @ Wings Over 177.5</t>
  </si>
  <si>
    <t xml:space="preserve">Game 1 total</t>
  </si>
  <si>
    <t xml:space="preserve">185 &amp; 188 combined in first two meetings; Sky 3rd in pace, over 8 of last 10 · RESULT: 161 combined — 16.5 under the number</t>
  </si>
  <si>
    <t xml:space="preserve">Paige Bueckers 20+ Points</t>
  </si>
  <si>
    <t xml:space="preserve">Wings G · player prop</t>
  </si>
  <si>
    <t xml:space="preserve">22+ in 6 of last 7; 20.6 PPG; Sky 10th in D-rating · RESULT: Bueckers 20 pts (6-13 FG, 7-8 FT) — cleared at the buzzer of our line</t>
  </si>
  <si>
    <t xml:space="preserve">Aces -4.5</t>
  </si>
  <si>
    <t xml:space="preserve">vs Fever · 9 PM ET</t>
  </si>
  <si>
    <t xml:space="preserve">+41 differential last 7 home w/ Wilson; rested off 48-pt blowout Sat · RESULT: Fever 109-75 — Aces lost by 34, spread dead</t>
  </si>
  <si>
    <t xml:space="preserve">A'ja Wilson Double-Double (Yes)</t>
  </si>
  <si>
    <t xml:space="preserve">Aces F · player prop</t>
  </si>
  <si>
    <t xml:space="preserve">DD in 5 straight career games vs Clark; 10.8 reb/game at home; 11 DDs (3rd in W) · RESULT: Wilson 20 pts / 12 reb — double-double cashed</t>
  </si>
  <si>
    <t xml:space="preserve">Kelsey Mitchell Over 2.5 Threes</t>
  </si>
  <si>
    <t xml:space="preserve">Fever G · player prop</t>
  </si>
  <si>
    <t xml:space="preserve">3+ threes in 6 straight, 8 of 10; 41.1% from deep; LV 12th vs opp threes · RESULT: Mitchell 3-of-8 from deep (27 pts) — cleared 2.5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</si>
  <si>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</si>
  <si>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</si>
  <si>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 · RESULT: Wings -9.5 leg dead → parlay dead (longshot MISS)</t>
  </si>
  <si>
    <t xml:space="preserve">Yellow = fill in results (dropdown). Blue = inputs. Black = formulas. Parlay odds +971 = (-115 × -108 × -159 × -121) compounded; grades as one bet.</t>
  </si>
  <si>
    <t xml:space="preserve">TEST 6 — THE 154th OPEN CHAMPIONSHIP · ROYAL BIRKDALE · JULY 16-19, 2026</t>
  </si>
  <si>
    <t xml:space="preserve">STATUS: ACTIVE — first tee Thu Jul 16</t>
  </si>
  <si>
    <t xml:space="preserve">Source: open2026-betting-card.html · Odds: DraftKings/consensus + Golf Digest, locked Sun Jul 12 · Phase 2 props ($400) added Wed Jul 15</t>
  </si>
  <si>
    <t xml:space="preserve">Outright basket is mutually exclusive — max one cashes. Basket coverage ≈ 44%. $600 deployed now; $400 reserved (not yet at risk).</t>
  </si>
  <si>
    <t xml:space="preserve">Scottie Scheffler</t>
  </si>
  <si>
    <t xml:space="preserve">Anchor — defending champ, drought discount on world No. 1</t>
  </si>
  <si>
    <t xml:space="preserve">Jon Rahm</t>
  </si>
  <si>
    <t xml:space="preserve">Two majors, near-misses all season, wind player</t>
  </si>
  <si>
    <t xml:space="preserve">Tommy Fleetwood</t>
  </si>
  <si>
    <t xml:space="preserve">Southport native — Birkdale is his home course</t>
  </si>
  <si>
    <t xml:space="preserve">Matt Fitzpatrick</t>
  </si>
  <si>
    <t xml:space="preserve">3 wins this season, English home major</t>
  </si>
  <si>
    <t xml:space="preserve">Collin Morikawa</t>
  </si>
  <si>
    <t xml:space="preserve">2021 Open champ, Sunday 61 at Travelers</t>
  </si>
  <si>
    <t xml:space="preserve">Brooks Koepka (LONGSHOT)</t>
  </si>
  <si>
    <t xml:space="preserve">5 majors, career-long price · counts in longshot record</t>
  </si>
  <si>
    <t xml:space="preserve">RESERVED — Phase 2 props (Wed)</t>
  </si>
  <si>
    <t xml:space="preserve">Top-10s / H2H matchups / make-cut — lines post midweek</t>
  </si>
  <si>
    <t xml:space="preserve">$400 reserved, not yet at risk; converts Wed Jul 15</t>
  </si>
  <si>
    <t xml:space="preserve">TOTALS (deployed)</t>
  </si>
  <si>
    <t xml:space="preserve">Total Staked (Phase 1)</t>
  </si>
  <si>
    <t xml:space="preserve">Basket Coverage (one wins)</t>
  </si>
  <si>
    <t xml:space="preserve">TEST 8 — MLB HOME RUN DERBY · CITIZENS BANK PARK, PHILADELPHIA · JULY 13, 2026</t>
  </si>
  <si>
    <t xml:space="preserve">STATUS: ACTIVE — LIVE, R1 in progress; longest-HR prop cashed</t>
  </si>
  <si>
    <t xml:space="preserve">8 PM ET / 7 CT on Netflix · Source: cards/hrderby-jul13-betting-card.html · Outrights: DraftKings ~9 AM CT Jul 13 · Props: Action Network / VSiN lines, -110 std price</t>
  </si>
  <si>
    <t xml:space="preserve">Bets 1, 2, 7 mutually exclusive (one winner). New format: 20 swings R1, top 4 to bracket (1v4/2v3), 15-swing semis+final, bonus swings while homering.</t>
  </si>
  <si>
    <t xml:space="preserve">Kyle Schwarber</t>
  </si>
  <si>
    <t xml:space="preserve">Anchor — MLB HR leader (32), home park, format suits him</t>
  </si>
  <si>
    <t xml:space="preserve">Junior Caminero</t>
  </si>
  <si>
    <t xml:space="preserve">44 HR in last year's derby, same BP pitcher</t>
  </si>
  <si>
    <t xml:space="preserve">Schwarber R1 Over 10.5 HRs</t>
  </si>
  <si>
    <t xml:space="preserve">Round 1 total</t>
  </si>
  <si>
    <t xml:space="preserve">20 swings + bonus rule; 11 clears</t>
  </si>
  <si>
    <t xml:space="preserve">Total Derby HRs Over 119.5</t>
  </si>
  <si>
    <t xml:space="preserve">Event total</t>
  </si>
  <si>
    <t xml:space="preserve">Bonus-swing rule + Philly July carry</t>
  </si>
  <si>
    <t xml:space="preserve">Ben Rice R1 Over 9.5 HRs</t>
  </si>
  <si>
    <t xml:space="preserve">Lefty pull power, 330-ft RF corner — VSiN lean</t>
  </si>
  <si>
    <t xml:space="preserve">Longest HR Over 484.5 ft</t>
  </si>
  <si>
    <t xml:space="preserve">Distance prop</t>
  </si>
  <si>
    <t xml:space="preserve">Contreras 490-ft R1 blast clears 484.5 — graded live mid-event (NESN/Sportsnet/Yahoo agree)</t>
  </si>
  <si>
    <t xml:space="preserve">LONGSHOT: Willson Contreras</t>
  </si>
  <si>
    <t xml:space="preserve">Longest price on board · counts in longshot record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</si>
</sst>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"/>
    <numFmt numFmtId="166" formatCode="\$#,##0.00;&quot;($&quot;#,##0.00\);\-"/>
    <numFmt numFmtId="167" formatCode="\$#,##0.00"/>
    <numFmt numFmtId="168" formatCode="\+0;\-0"/>
    <numFmt numFmtId="169" formatCode="0"/>
    <numFmt numFmtId="170" formatCode="0.0%"/>
    <numFmt numFmtId="171" formatCode="0%"/>
    <numFmt numFmtId="172" formatCode="0.0&quot; exp. wins&quot;"/>
    <numFmt numFmtId="173" formatCode="0.0"/>
    <numFmt numFmtId="174" formatCode="0.00&quot; exp. wins&quot;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  <font>
      <sz val="10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2F0D9"/>
        <bgColor rgb="FFE7E6E6"/>
      </patternFill>
    </fill>
    <fill>
      <patternFill patternType="solid">
        <fgColor rgb="FFFFF2CC"/>
        <bgColor rgb="FFF2F2F2"/>
      </patternFill>
    </fill>
    <fill>
      <patternFill patternType="solid">
        <fgColor rgb="FFE7E6E6"/>
        <bgColor rgb="FFE2F0D9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E81828"/>
        <bgColor rgb="FFC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993366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M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H24</f>
        <v>-651.687770110249</v>
      </c>
    </row>
    <row r="7" customFormat="false" ht="15" hidden="false" customHeight="true" outlineLevel="0" collapsed="false">
      <c r="A7" s="5" t="s">
        <v>5</v>
      </c>
      <c r="B7" s="8" t="n">
        <f aca="false">B5+B6</f>
        <v>4348.31222988975</v>
      </c>
    </row>
    <row r="8" customFormat="false" ht="15" hidden="false" customHeight="true" outlineLevel="0" collapsed="false">
      <c r="A8" s="5" t="s">
        <v>6</v>
      </c>
      <c r="B8" s="9" t="n">
        <f aca="false">F24</f>
        <v>2475</v>
      </c>
    </row>
    <row r="9" customFormat="false" ht="15" hidden="false" customHeight="true" outlineLevel="0" collapsed="false">
      <c r="A9" s="5" t="s">
        <v>7</v>
      </c>
      <c r="B9" s="8" t="n">
        <f aca="false">B7-B8</f>
        <v>1873.31222988975</v>
      </c>
    </row>
    <row r="10" customFormat="false" ht="15" hidden="false" customHeight="true" outlineLevel="0" collapsed="false">
      <c r="A10" s="5" t="s">
        <v>8</v>
      </c>
      <c r="B10" s="10" t="str">
        <f aca="false">COUNTIF(D16:D23,"ACTIVE")&amp;" of 4 max"</f>
        <v>3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4" t="s">
        <v>11</v>
      </c>
      <c r="K14" s="1"/>
      <c r="L14" s="1"/>
      <c r="M14" s="1"/>
    </row>
    <row r="15" customFormat="false" ht="25.5" hidden="false" customHeight="true" outlineLevel="0" collapsed="false">
      <c r="A15" s="12" t="s">
        <v>12</v>
      </c>
      <c r="B15" s="12" t="s">
        <v>13</v>
      </c>
      <c r="C15" s="12" t="s">
        <v>14</v>
      </c>
      <c r="D15" s="12" t="s">
        <v>15</v>
      </c>
      <c r="E15" s="12" t="s">
        <v>16</v>
      </c>
      <c r="F15" s="12" t="s">
        <v>17</v>
      </c>
      <c r="G15" s="12" t="s">
        <v>18</v>
      </c>
      <c r="H15" s="12" t="s">
        <v>19</v>
      </c>
      <c r="I15" s="13"/>
      <c r="J15" s="13"/>
      <c r="K15" s="1"/>
      <c r="L15" s="1"/>
      <c r="M15" s="1"/>
    </row>
    <row r="16" customFormat="false" ht="15" hidden="false" customHeight="true" outlineLevel="0" collapsed="false">
      <c r="A16" s="14" t="n">
        <v>8</v>
      </c>
      <c r="B16" s="15" t="s">
        <v>20</v>
      </c>
      <c r="C16" s="14" t="s">
        <v>21</v>
      </c>
      <c r="D16" s="16" t="s">
        <v>22</v>
      </c>
      <c r="E16" s="17" t="n">
        <f aca="false">SUM('HR Derby'!F7:F13)</f>
        <v>1000</v>
      </c>
      <c r="F16" s="17" t="n">
        <f aca="false">SUMIF('HR Derby'!I7:I13,"Pending",'HR Derby'!F7:F13)</f>
        <v>875</v>
      </c>
      <c r="G16" s="17" t="n">
        <f aca="false">SUM('HR Derby'!J7:J13)</f>
        <v>238.636363636364</v>
      </c>
      <c r="H16" s="17" t="n">
        <f aca="false">SUM('HR Derby'!K7:K13)</f>
        <v>113.636363636364</v>
      </c>
      <c r="I16" s="18"/>
      <c r="J16" s="19"/>
      <c r="K16" s="1"/>
      <c r="L16" s="1"/>
      <c r="M16" s="1"/>
    </row>
    <row r="17" customFormat="false" ht="15" hidden="false" customHeight="true" outlineLevel="0" collapsed="false">
      <c r="A17" s="14" t="n">
        <v>2</v>
      </c>
      <c r="B17" s="15" t="s">
        <v>23</v>
      </c>
      <c r="C17" s="14" t="s">
        <v>24</v>
      </c>
      <c r="D17" s="16" t="s">
        <v>22</v>
      </c>
      <c r="E17" s="17" t="n">
        <f aca="false">SUM('World Cup 2026'!F7:F13)</f>
        <v>1000</v>
      </c>
      <c r="F17" s="17" t="n">
        <f aca="false">SUMIF('World Cup 2026'!I7:I13,"Pending",'World Cup 2026'!F7:F13)</f>
        <v>1000</v>
      </c>
      <c r="G17" s="17" t="n">
        <f aca="false">SUM('World Cup 2026'!J7:J13)</f>
        <v>0</v>
      </c>
      <c r="H17" s="17" t="n">
        <f aca="false">SUM('World Cup 2026'!K7:K13)</f>
        <v>0</v>
      </c>
      <c r="I17" s="18"/>
      <c r="J17" s="19"/>
      <c r="K17" s="1"/>
      <c r="L17" s="1"/>
      <c r="M17" s="1"/>
    </row>
    <row r="18" customFormat="false" ht="15" hidden="false" customHeight="true" outlineLevel="0" collapsed="false">
      <c r="A18" s="14" t="n">
        <v>6</v>
      </c>
      <c r="B18" s="15" t="s">
        <v>25</v>
      </c>
      <c r="C18" s="14" t="s">
        <v>26</v>
      </c>
      <c r="D18" s="16" t="s">
        <v>22</v>
      </c>
      <c r="E18" s="17" t="n">
        <f aca="false">SUM('The Open'!F7:F12)</f>
        <v>600</v>
      </c>
      <c r="F18" s="17" t="n">
        <f aca="false">SUMIF('The Open'!I7:I12,"Pending",'The Open'!F7:F12)</f>
        <v>600</v>
      </c>
      <c r="G18" s="17" t="n">
        <f aca="false">SUM('The Open'!J7:J12)</f>
        <v>0</v>
      </c>
      <c r="H18" s="17" t="n">
        <f aca="false">SUM('The Open'!K7:K12)</f>
        <v>0</v>
      </c>
      <c r="I18" s="18"/>
      <c r="J18" s="19"/>
      <c r="K18" s="1"/>
      <c r="L18" s="1"/>
      <c r="M18" s="1"/>
    </row>
    <row r="19" customFormat="false" ht="15" hidden="false" customHeight="true" outlineLevel="0" collapsed="false">
      <c r="A19" s="20" t="n">
        <v>7</v>
      </c>
      <c r="B19" s="21" t="s">
        <v>27</v>
      </c>
      <c r="C19" s="20" t="s">
        <v>28</v>
      </c>
      <c r="D19" s="22" t="s">
        <v>29</v>
      </c>
      <c r="E19" s="23" t="n">
        <v>0</v>
      </c>
      <c r="F19" s="23" t="n">
        <v>0</v>
      </c>
      <c r="G19" s="23" t="n">
        <v>0</v>
      </c>
      <c r="H19" s="23" t="n">
        <v>0</v>
      </c>
      <c r="I19" s="18"/>
      <c r="J19" s="19"/>
      <c r="K19" s="1"/>
      <c r="L19" s="1"/>
      <c r="M19" s="1"/>
    </row>
    <row r="20" customFormat="false" ht="15" hidden="false" customHeight="true" outlineLevel="0" collapsed="false">
      <c r="A20" s="24" t="n">
        <v>4</v>
      </c>
      <c r="B20" s="25" t="s">
        <v>30</v>
      </c>
      <c r="C20" s="24" t="s">
        <v>31</v>
      </c>
      <c r="D20" s="26" t="s">
        <v>32</v>
      </c>
      <c r="E20" s="27" t="n">
        <f aca="false">SUM('NASCAR Jul 12'!F7:F13)</f>
        <v>1000</v>
      </c>
      <c r="F20" s="27" t="n">
        <f aca="false">SUMIF('NASCAR Jul 12'!I7:I13,"Pending",'NASCAR Jul 12'!F7:F13)</f>
        <v>0</v>
      </c>
      <c r="G20" s="27" t="n">
        <f aca="false">SUM('NASCAR Jul 12'!J7:J13)</f>
        <v>565.486725663717</v>
      </c>
      <c r="H20" s="27" t="n">
        <f aca="false">SUM('NASCAR Jul 12'!K7:K13)</f>
        <v>-434.513274336283</v>
      </c>
      <c r="I20" s="18"/>
      <c r="J20" s="19"/>
      <c r="K20" s="1"/>
      <c r="L20" s="1"/>
      <c r="M20" s="1"/>
    </row>
    <row r="21" customFormat="false" ht="15" hidden="false" customHeight="true" outlineLevel="0" collapsed="false">
      <c r="A21" s="24" t="n">
        <v>5</v>
      </c>
      <c r="B21" s="25" t="s">
        <v>33</v>
      </c>
      <c r="C21" s="24" t="s">
        <v>31</v>
      </c>
      <c r="D21" s="26" t="s">
        <v>32</v>
      </c>
      <c r="E21" s="27" t="n">
        <f aca="false">SUM('WNBA Jul 12'!F7:F13)</f>
        <v>1000</v>
      </c>
      <c r="F21" s="27" t="n">
        <f aca="false">SUMIF('WNBA Jul 12'!I7:I13,"Pending",'WNBA Jul 12'!F7:F13)</f>
        <v>0</v>
      </c>
      <c r="G21" s="27" t="n">
        <f aca="false">SUM('WNBA Jul 12'!J7:J13)</f>
        <v>701.846509693851</v>
      </c>
      <c r="H21" s="27" t="n">
        <f aca="false">SUM('WNBA Jul 12'!K7:K13)</f>
        <v>-298.153490306149</v>
      </c>
      <c r="I21" s="18"/>
      <c r="J21" s="19"/>
      <c r="K21" s="1"/>
      <c r="L21" s="1"/>
      <c r="M21" s="1"/>
    </row>
    <row r="22" customFormat="false" ht="15" hidden="false" customHeight="true" outlineLevel="0" collapsed="false">
      <c r="A22" s="24" t="n">
        <v>3</v>
      </c>
      <c r="B22" s="25" t="s">
        <v>34</v>
      </c>
      <c r="C22" s="24" t="s">
        <v>31</v>
      </c>
      <c r="D22" s="26" t="s">
        <v>32</v>
      </c>
      <c r="E22" s="27" t="n">
        <f aca="false">SUM('MLB Jul 12'!F7:F14)</f>
        <v>1000</v>
      </c>
      <c r="F22" s="27" t="n">
        <f aca="false">SUMIF('MLB Jul 12'!I7:I14,"Pending",'MLB Jul 12'!F7:F14)</f>
        <v>0</v>
      </c>
      <c r="G22" s="27" t="n">
        <f aca="false">SUM('MLB Jul 12'!J7:J14)</f>
        <v>802.232258064516</v>
      </c>
      <c r="H22" s="27" t="n">
        <f aca="false">SUM('MLB Jul 12'!K7:K14)</f>
        <v>-197.767741935484</v>
      </c>
      <c r="I22" s="18"/>
      <c r="J22" s="19"/>
      <c r="K22" s="1"/>
      <c r="L22" s="1"/>
      <c r="M22" s="1"/>
    </row>
    <row r="23" customFormat="false" ht="15" hidden="false" customHeight="true" outlineLevel="0" collapsed="false">
      <c r="A23" s="24" t="n">
        <v>1</v>
      </c>
      <c r="B23" s="25" t="s">
        <v>35</v>
      </c>
      <c r="C23" s="24" t="s">
        <v>36</v>
      </c>
      <c r="D23" s="26" t="s">
        <v>32</v>
      </c>
      <c r="E23" s="27" t="n">
        <f aca="false">SUM('UFC 329'!F7:F15)</f>
        <v>1050</v>
      </c>
      <c r="F23" s="27" t="n">
        <f aca="false">SUMIF('UFC 329'!I7:I15,"Pending",'UFC 329'!F7:F15)</f>
        <v>0</v>
      </c>
      <c r="G23" s="27" t="n">
        <f aca="false">SUM('UFC 329'!J7:J15)</f>
        <v>1215.1103728313</v>
      </c>
      <c r="H23" s="27" t="n">
        <f aca="false">SUM('UFC 329'!K7:K15)</f>
        <v>165.110372831303</v>
      </c>
      <c r="I23" s="28"/>
      <c r="J23" s="28"/>
      <c r="K23" s="1"/>
      <c r="L23" s="1"/>
      <c r="M23" s="1"/>
    </row>
    <row r="24" customFormat="false" ht="15" hidden="false" customHeight="true" outlineLevel="0" collapsed="false">
      <c r="B24" s="4" t="s">
        <v>37</v>
      </c>
      <c r="E24" s="8" t="n">
        <f aca="false">SUM(E16:E23)</f>
        <v>6650</v>
      </c>
      <c r="F24" s="8" t="n">
        <f aca="false">SUM(F16:F23)</f>
        <v>2475</v>
      </c>
      <c r="G24" s="8" t="n">
        <f aca="false">SUM(G16:G23)</f>
        <v>3523.31222988975</v>
      </c>
      <c r="H24" s="8" t="n">
        <f aca="false">SUM(H16:H23)</f>
        <v>-651.687770110249</v>
      </c>
      <c r="K24" s="1"/>
      <c r="L24" s="1"/>
      <c r="M24" s="1"/>
    </row>
    <row r="25" customFormat="false" ht="15" hidden="false" customHeight="true" outlineLevel="0" collapsed="false">
      <c r="A25" s="4"/>
      <c r="K25" s="1"/>
      <c r="L25" s="1"/>
      <c r="M25" s="1"/>
    </row>
    <row r="26" customFormat="false" ht="15" hidden="false" customHeight="true" outlineLevel="0" collapsed="false">
      <c r="A26" s="29" t="s">
        <v>38</v>
      </c>
      <c r="B26" s="13"/>
      <c r="C26" s="13"/>
      <c r="D26" s="13"/>
      <c r="E26" s="13"/>
      <c r="K26" s="1"/>
      <c r="L26" s="1"/>
      <c r="M26" s="1"/>
    </row>
    <row r="27" customFormat="false" ht="15" hidden="false" customHeight="true" outlineLevel="0" collapsed="false">
      <c r="A27" s="12" t="s">
        <v>39</v>
      </c>
      <c r="B27" s="12" t="s">
        <v>40</v>
      </c>
      <c r="C27" s="12" t="s">
        <v>41</v>
      </c>
      <c r="D27" s="30" t="s">
        <v>42</v>
      </c>
      <c r="E27" s="12" t="s">
        <v>15</v>
      </c>
      <c r="K27" s="1"/>
      <c r="L27" s="1"/>
      <c r="M27" s="1"/>
    </row>
    <row r="28" customFormat="false" ht="15" hidden="false" customHeight="true" outlineLevel="0" collapsed="false">
      <c r="A28" s="31" t="s">
        <v>43</v>
      </c>
      <c r="B28" s="31" t="s">
        <v>44</v>
      </c>
      <c r="C28" s="32" t="s">
        <v>45</v>
      </c>
      <c r="D28" s="33" t="n">
        <v>0</v>
      </c>
      <c r="E28" s="10" t="s">
        <v>46</v>
      </c>
      <c r="K28" s="1"/>
      <c r="L28" s="1"/>
      <c r="M28" s="1"/>
    </row>
    <row r="29" customFormat="false" ht="15" hidden="false" customHeight="true" outlineLevel="0" collapsed="false">
      <c r="A29" s="31" t="s">
        <v>47</v>
      </c>
      <c r="B29" s="31" t="s">
        <v>48</v>
      </c>
      <c r="C29" s="32" t="s">
        <v>49</v>
      </c>
      <c r="D29" s="33" t="n">
        <v>50</v>
      </c>
      <c r="E29" s="10" t="str">
        <f aca="false">IF('MLB Jul 12'!I14="Win","HIT",IF('MLB Jul 12'!I14="Loss","MISS","Pending"))</f>
        <v>MISS</v>
      </c>
      <c r="K29" s="1"/>
      <c r="L29" s="1"/>
      <c r="M29" s="1"/>
    </row>
    <row r="30" customFormat="false" ht="15" hidden="false" customHeight="true" outlineLevel="0" collapsed="false">
      <c r="A30" s="31" t="s">
        <v>50</v>
      </c>
      <c r="B30" s="31" t="s">
        <v>51</v>
      </c>
      <c r="C30" s="32" t="s">
        <v>52</v>
      </c>
      <c r="D30" s="33" t="n">
        <v>40</v>
      </c>
      <c r="E30" s="10" t="str">
        <f aca="false">IF('NASCAR Jul 12'!I13="Win","HIT",IF('NASCAR Jul 12'!I13="Loss","MISS","Pending"))</f>
        <v>MISS</v>
      </c>
      <c r="K30" s="1"/>
      <c r="L30" s="1"/>
      <c r="M30" s="1"/>
    </row>
    <row r="31" customFormat="false" ht="15" hidden="false" customHeight="true" outlineLevel="0" collapsed="false">
      <c r="A31" s="31" t="s">
        <v>53</v>
      </c>
      <c r="B31" s="31" t="s">
        <v>54</v>
      </c>
      <c r="C31" s="32" t="s">
        <v>55</v>
      </c>
      <c r="D31" s="33" t="n">
        <v>100</v>
      </c>
      <c r="E31" s="10" t="str">
        <f aca="false">IF('WNBA Jul 12'!I13="Win","HIT",IF('WNBA Jul 12'!I13="Loss","MISS","Pending"))</f>
        <v>MISS</v>
      </c>
      <c r="K31" s="1"/>
      <c r="L31" s="1"/>
      <c r="M31" s="1"/>
    </row>
    <row r="32" customFormat="false" ht="15" hidden="false" customHeight="true" outlineLevel="0" collapsed="false">
      <c r="A32" s="31" t="s">
        <v>56</v>
      </c>
      <c r="B32" s="31" t="s">
        <v>57</v>
      </c>
      <c r="C32" s="32" t="s">
        <v>58</v>
      </c>
      <c r="D32" s="33" t="n">
        <v>50</v>
      </c>
      <c r="E32" s="10" t="str">
        <f aca="false">IF('The Open'!I12="Win","HIT",IF('The Open'!I12="Loss","MISS","Pending"))</f>
        <v>Pending</v>
      </c>
      <c r="K32" s="1"/>
      <c r="L32" s="1"/>
      <c r="M32" s="1"/>
    </row>
    <row r="33" customFormat="false" ht="15" hidden="false" customHeight="true" outlineLevel="0" collapsed="false">
      <c r="A33" s="31" t="s">
        <v>59</v>
      </c>
      <c r="B33" s="31" t="s">
        <v>60</v>
      </c>
      <c r="C33" s="32" t="s">
        <v>61</v>
      </c>
      <c r="D33" s="33" t="n">
        <v>0</v>
      </c>
      <c r="E33" s="10" t="s">
        <v>62</v>
      </c>
      <c r="K33" s="1"/>
      <c r="L33" s="1"/>
      <c r="M33" s="1"/>
    </row>
    <row r="34" customFormat="false" ht="15" hidden="false" customHeight="true" outlineLevel="0" collapsed="false">
      <c r="A34" s="31" t="s">
        <v>63</v>
      </c>
      <c r="B34" s="31" t="s">
        <v>64</v>
      </c>
      <c r="C34" s="32" t="s">
        <v>65</v>
      </c>
      <c r="D34" s="33" t="n">
        <v>75</v>
      </c>
      <c r="E34" s="10" t="str">
        <f aca="false">IF('HR Derby'!I13="Win","HIT",IF('HR Derby'!I13="Loss","MISS","Pending"))</f>
        <v>Pending</v>
      </c>
      <c r="K34" s="1"/>
      <c r="L34" s="1"/>
      <c r="M34" s="1"/>
    </row>
    <row r="35" customFormat="false" ht="15" hidden="false" customHeight="true" outlineLevel="0" collapsed="false">
      <c r="A35" s="4" t="s">
        <v>66</v>
      </c>
      <c r="E35" s="10" t="str">
        <f aca="false">IF(COUNTIF(E28:E34,"HIT")+COUNTIF(E28:E34,"MISS")=0,"—",COUNTIF(E28:E34,"HIT")&amp;"-for-"&amp;(COUNTIF(E28:E34,"HIT")+COUNTIF(E28:E34,"MISS"))&amp;" ("&amp;TEXT(COUNTIF(E28:E34,"HIT")/(COUNTIF(E28:E34,"HIT")+COUNTIF(E28:E34,"MISS")),"0%")&amp;")")</f>
        <v>0-for-4 (0%)</v>
      </c>
      <c r="K35" s="1"/>
      <c r="L35" s="1"/>
      <c r="M35" s="1"/>
    </row>
    <row r="36" customFormat="false" ht="15" hidden="false" customHeight="true" outlineLevel="0" collapsed="false">
      <c r="A36" s="3" t="s">
        <v>67</v>
      </c>
      <c r="K36" s="1"/>
      <c r="L36" s="1"/>
      <c r="M36" s="1"/>
    </row>
    <row r="37" customFormat="false" ht="15" hidden="false" customHeight="true" outlineLevel="0" collapsed="false">
      <c r="A37" s="34"/>
      <c r="K37" s="1"/>
      <c r="L37" s="1"/>
      <c r="M37" s="1"/>
    </row>
    <row r="38" customFormat="false" ht="15" hidden="false" customHeight="true" outlineLevel="0" collapsed="false">
      <c r="A38" s="34"/>
      <c r="K38" s="1"/>
      <c r="L38" s="1"/>
      <c r="M38" s="1"/>
    </row>
    <row r="39" customFormat="false" ht="15" hidden="false" customHeight="true" outlineLevel="0" collapsed="false">
      <c r="K39" s="1"/>
      <c r="L39" s="1"/>
      <c r="M39" s="1"/>
    </row>
    <row r="40" customFormat="false" ht="15" hidden="false" customHeight="true" outlineLevel="0" collapsed="false">
      <c r="K40" s="1"/>
      <c r="L40" s="1"/>
      <c r="M40" s="1"/>
    </row>
  </sheetData>
  <conditionalFormatting sqref="H16:H23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2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conditionalFormatting sqref="H16:H24">
    <cfRule type="expression" priority="10" aboveAverage="0" equalAverage="0" bottom="0" percent="0" rank="0" text="" dxfId="0">
      <formula>AND(ISNUMBER(H16),H16&gt;0)</formula>
    </cfRule>
    <cfRule type="expression" priority="11" aboveAverage="0" equalAverage="0" bottom="0" percent="0" rank="0" text="" dxfId="1">
      <formula>AND(ISNUMBER(H16),H16&lt;0)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35" t="s">
        <v>68</v>
      </c>
      <c r="H1" s="36" t="s">
        <v>69</v>
      </c>
    </row>
    <row r="2" customFormat="false" ht="15" hidden="false" customHeight="true" outlineLevel="0" collapsed="false">
      <c r="A2" s="3" t="s">
        <v>70</v>
      </c>
    </row>
    <row r="3" customFormat="false" ht="15" hidden="false" customHeight="true" outlineLevel="0" collapsed="false">
      <c r="A3" s="3" t="s">
        <v>71</v>
      </c>
    </row>
    <row r="5" customFormat="false" ht="15" hidden="false" customHeight="true" outlineLevel="0" collapsed="false">
      <c r="A5" s="4" t="s">
        <v>72</v>
      </c>
    </row>
    <row r="6" customFormat="false" ht="24" hidden="false" customHeight="true" outlineLevel="0" collapsed="false">
      <c r="A6" s="12" t="s">
        <v>12</v>
      </c>
      <c r="B6" s="12" t="s">
        <v>73</v>
      </c>
      <c r="C6" s="12" t="s">
        <v>74</v>
      </c>
      <c r="D6" s="12" t="s">
        <v>75</v>
      </c>
      <c r="E6" s="12" t="s">
        <v>76</v>
      </c>
      <c r="F6" s="12" t="s">
        <v>42</v>
      </c>
      <c r="G6" s="12" t="s">
        <v>77</v>
      </c>
      <c r="H6" s="12" t="s">
        <v>78</v>
      </c>
      <c r="I6" s="12" t="s">
        <v>79</v>
      </c>
      <c r="J6" s="12" t="s">
        <v>80</v>
      </c>
      <c r="K6" s="12" t="s">
        <v>81</v>
      </c>
      <c r="L6" s="12" t="s">
        <v>82</v>
      </c>
    </row>
    <row r="7" customFormat="false" ht="15" hidden="false" customHeight="true" outlineLevel="0" collapsed="false">
      <c r="A7" s="32" t="n">
        <v>1</v>
      </c>
      <c r="B7" s="37" t="s">
        <v>83</v>
      </c>
      <c r="C7" s="38" t="s">
        <v>84</v>
      </c>
      <c r="D7" s="32" t="s">
        <v>85</v>
      </c>
      <c r="E7" s="39" t="n">
        <v>-265</v>
      </c>
      <c r="F7" s="40" t="n">
        <v>265</v>
      </c>
      <c r="G7" s="41" t="n">
        <f aca="false">IF(E7&gt;0,F7*E7/100,F7*100/ABS(E7))</f>
        <v>100</v>
      </c>
      <c r="H7" s="41" t="n">
        <f aca="false">F7+G7</f>
        <v>365</v>
      </c>
      <c r="I7" s="42" t="s">
        <v>86</v>
      </c>
      <c r="J7" s="41" t="n">
        <f aca="false">IF(I7="Win",F7+G7,IF(I7="Push",F7,IF(I7="Loss",0,0)))</f>
        <v>365</v>
      </c>
      <c r="K7" s="43" t="n">
        <f aca="false">IF(I7="Pending",0,J7-F7)</f>
        <v>100</v>
      </c>
      <c r="L7" s="44" t="s">
        <v>87</v>
      </c>
    </row>
    <row r="8" customFormat="false" ht="15" hidden="false" customHeight="true" outlineLevel="0" collapsed="false">
      <c r="A8" s="32" t="n">
        <v>2</v>
      </c>
      <c r="B8" s="37" t="s">
        <v>88</v>
      </c>
      <c r="C8" s="38" t="s">
        <v>89</v>
      </c>
      <c r="D8" s="32" t="s">
        <v>90</v>
      </c>
      <c r="E8" s="39" t="n">
        <v>-140</v>
      </c>
      <c r="F8" s="40" t="n">
        <v>200</v>
      </c>
      <c r="G8" s="41" t="n">
        <f aca="false">IF(E8&gt;0,F8*E8/100,F8*100/ABS(E8))</f>
        <v>142.857142857143</v>
      </c>
      <c r="H8" s="41" t="n">
        <f aca="false">F8+G8</f>
        <v>342.857142857143</v>
      </c>
      <c r="I8" s="42" t="s">
        <v>86</v>
      </c>
      <c r="J8" s="41" t="n">
        <f aca="false">IF(I8="Win",F8+G8,IF(I8="Push",F8,IF(I8="Loss",0,0)))</f>
        <v>342.857142857143</v>
      </c>
      <c r="K8" s="43" t="n">
        <f aca="false">IF(I8="Pending",0,J8-F8)</f>
        <v>142.857142857143</v>
      </c>
      <c r="L8" s="44" t="s">
        <v>91</v>
      </c>
    </row>
    <row r="9" customFormat="false" ht="15" hidden="false" customHeight="true" outlineLevel="0" collapsed="false">
      <c r="A9" s="32" t="n">
        <v>3</v>
      </c>
      <c r="B9" s="37" t="s">
        <v>92</v>
      </c>
      <c r="C9" s="38" t="s">
        <v>93</v>
      </c>
      <c r="D9" s="32" t="s">
        <v>85</v>
      </c>
      <c r="E9" s="39" t="n">
        <v>-148</v>
      </c>
      <c r="F9" s="40" t="n">
        <v>148</v>
      </c>
      <c r="G9" s="41" t="n">
        <f aca="false">IF(E9&gt;0,F9*E9/100,F9*100/ABS(E9))</f>
        <v>100</v>
      </c>
      <c r="H9" s="41" t="n">
        <f aca="false">F9+G9</f>
        <v>248</v>
      </c>
      <c r="I9" s="45" t="s">
        <v>94</v>
      </c>
      <c r="J9" s="41" t="n">
        <f aca="false">IF(I9="Win",F9+G9,IF(I9="Push",F9,IF(I9="Loss",0,0)))</f>
        <v>0</v>
      </c>
      <c r="K9" s="43" t="n">
        <f aca="false">IF(I9="Pending",0,J9-F9)</f>
        <v>-148</v>
      </c>
      <c r="L9" s="44" t="s">
        <v>95</v>
      </c>
    </row>
    <row r="10" customFormat="false" ht="15" hidden="false" customHeight="true" outlineLevel="0" collapsed="false">
      <c r="A10" s="32" t="n">
        <v>4</v>
      </c>
      <c r="B10" s="37" t="s">
        <v>96</v>
      </c>
      <c r="C10" s="38" t="s">
        <v>97</v>
      </c>
      <c r="D10" s="32" t="s">
        <v>85</v>
      </c>
      <c r="E10" s="39" t="n">
        <v>114</v>
      </c>
      <c r="F10" s="40" t="n">
        <v>100</v>
      </c>
      <c r="G10" s="41" t="n">
        <f aca="false">IF(E10&gt;0,F10*E10/100,F10*100/ABS(E10))</f>
        <v>114</v>
      </c>
      <c r="H10" s="41" t="n">
        <f aca="false">F10+G10</f>
        <v>214</v>
      </c>
      <c r="I10" s="42" t="s">
        <v>86</v>
      </c>
      <c r="J10" s="41" t="n">
        <f aca="false">IF(I10="Win",F10+G10,IF(I10="Push",F10,IF(I10="Loss",0,0)))</f>
        <v>214</v>
      </c>
      <c r="K10" s="43" t="n">
        <f aca="false">IF(I10="Pending",0,J10-F10)</f>
        <v>114</v>
      </c>
      <c r="L10" s="44" t="s">
        <v>98</v>
      </c>
    </row>
    <row r="11" customFormat="false" ht="15" hidden="false" customHeight="true" outlineLevel="0" collapsed="false">
      <c r="A11" s="32" t="n">
        <v>5</v>
      </c>
      <c r="B11" s="37" t="s">
        <v>99</v>
      </c>
      <c r="C11" s="38" t="s">
        <v>100</v>
      </c>
      <c r="D11" s="32" t="s">
        <v>85</v>
      </c>
      <c r="E11" s="39" t="n">
        <v>-218</v>
      </c>
      <c r="F11" s="40" t="n">
        <v>100</v>
      </c>
      <c r="G11" s="41" t="n">
        <f aca="false">IF(E11&gt;0,F11*E11/100,F11*100/ABS(E11))</f>
        <v>45.8715596330275</v>
      </c>
      <c r="H11" s="41" t="n">
        <f aca="false">F11+G11</f>
        <v>145.871559633028</v>
      </c>
      <c r="I11" s="45" t="s">
        <v>94</v>
      </c>
      <c r="J11" s="41" t="n">
        <f aca="false">IF(I11="Win",F11+G11,IF(I11="Push",F11,IF(I11="Loss",0,0)))</f>
        <v>0</v>
      </c>
      <c r="K11" s="43" t="n">
        <f aca="false">IF(I11="Pending",0,J11-F11)</f>
        <v>-100</v>
      </c>
      <c r="L11" s="44" t="s">
        <v>101</v>
      </c>
    </row>
    <row r="12" customFormat="false" ht="15" hidden="false" customHeight="true" outlineLevel="0" collapsed="false">
      <c r="A12" s="32" t="n">
        <v>6</v>
      </c>
      <c r="B12" s="37" t="s">
        <v>102</v>
      </c>
      <c r="C12" s="38" t="s">
        <v>103</v>
      </c>
      <c r="D12" s="32" t="s">
        <v>85</v>
      </c>
      <c r="E12" s="39" t="n">
        <v>-125</v>
      </c>
      <c r="F12" s="40" t="n">
        <v>75</v>
      </c>
      <c r="G12" s="41" t="n">
        <f aca="false">IF(E12&gt;0,F12*E12/100,F12*100/ABS(E12))</f>
        <v>60</v>
      </c>
      <c r="H12" s="41" t="n">
        <f aca="false">F12+G12</f>
        <v>135</v>
      </c>
      <c r="I12" s="42" t="s">
        <v>86</v>
      </c>
      <c r="J12" s="41" t="n">
        <f aca="false">IF(I12="Win",F12+G12,IF(I12="Push",F12,IF(I12="Loss",0,0)))</f>
        <v>135</v>
      </c>
      <c r="K12" s="43" t="n">
        <f aca="false">IF(I12="Pending",0,J12-F12)</f>
        <v>60</v>
      </c>
      <c r="L12" s="44" t="s">
        <v>104</v>
      </c>
    </row>
    <row r="13" customFormat="false" ht="15" hidden="false" customHeight="true" outlineLevel="0" collapsed="false">
      <c r="A13" s="32" t="n">
        <v>7</v>
      </c>
      <c r="B13" s="37" t="s">
        <v>105</v>
      </c>
      <c r="C13" s="38" t="s">
        <v>106</v>
      </c>
      <c r="D13" s="32" t="s">
        <v>85</v>
      </c>
      <c r="E13" s="39" t="n">
        <v>-225</v>
      </c>
      <c r="F13" s="40" t="n">
        <v>50</v>
      </c>
      <c r="G13" s="41" t="n">
        <f aca="false">IF(E13&gt;0,F13*E13/100,F13*100/ABS(E13))</f>
        <v>22.2222222222222</v>
      </c>
      <c r="H13" s="41" t="n">
        <f aca="false">F13+G13</f>
        <v>72.2222222222222</v>
      </c>
      <c r="I13" s="42" t="s">
        <v>86</v>
      </c>
      <c r="J13" s="41" t="n">
        <f aca="false">IF(I13="Win",F13+G13,IF(I13="Push",F13,IF(I13="Loss",0,0)))</f>
        <v>72.2222222222222</v>
      </c>
      <c r="K13" s="43" t="n">
        <f aca="false">IF(I13="Pending",0,J13-F13)</f>
        <v>22.2222222222222</v>
      </c>
      <c r="L13" s="44" t="s">
        <v>107</v>
      </c>
    </row>
    <row r="14" customFormat="false" ht="15" hidden="false" customHeight="true" outlineLevel="0" collapsed="false">
      <c r="A14" s="32" t="n">
        <v>8</v>
      </c>
      <c r="B14" s="37" t="s">
        <v>108</v>
      </c>
      <c r="C14" s="38" t="s">
        <v>109</v>
      </c>
      <c r="D14" s="32" t="s">
        <v>85</v>
      </c>
      <c r="E14" s="39" t="n">
        <v>-258</v>
      </c>
      <c r="F14" s="40" t="n">
        <v>62</v>
      </c>
      <c r="G14" s="41" t="n">
        <f aca="false">IF(E14&gt;0,F14*E14/100,F14*100/ABS(E14))</f>
        <v>24.031007751938</v>
      </c>
      <c r="H14" s="41" t="n">
        <f aca="false">F14+G14</f>
        <v>86.031007751938</v>
      </c>
      <c r="I14" s="42" t="s">
        <v>86</v>
      </c>
      <c r="J14" s="41" t="n">
        <f aca="false">IF(I14="Win",F14+G14,IF(I14="Push",F14,IF(I14="Loss",0,0)))</f>
        <v>86.031007751938</v>
      </c>
      <c r="K14" s="43" t="n">
        <f aca="false">IF(I14="Pending",0,J14-F14)</f>
        <v>24.031007751938</v>
      </c>
      <c r="L14" s="44" t="s">
        <v>110</v>
      </c>
    </row>
    <row r="15" customFormat="false" ht="15" hidden="false" customHeight="true" outlineLevel="0" collapsed="false">
      <c r="A15" s="32" t="n">
        <v>9</v>
      </c>
      <c r="B15" s="37" t="s">
        <v>111</v>
      </c>
      <c r="C15" s="38" t="s">
        <v>112</v>
      </c>
      <c r="D15" s="32" t="s">
        <v>113</v>
      </c>
      <c r="E15" s="39" t="n">
        <v>443</v>
      </c>
      <c r="F15" s="40" t="n">
        <v>50</v>
      </c>
      <c r="G15" s="41" t="n">
        <f aca="false">IF(E15&gt;0,F15*E15/100,F15*100/ABS(E15))</f>
        <v>221.5</v>
      </c>
      <c r="H15" s="41" t="n">
        <f aca="false">F15+G15</f>
        <v>271.5</v>
      </c>
      <c r="I15" s="45" t="s">
        <v>94</v>
      </c>
      <c r="J15" s="41" t="n">
        <f aca="false">IF(I15="Win",F15+G15,IF(I15="Push",F15,IF(I15="Loss",0,0)))</f>
        <v>0</v>
      </c>
      <c r="K15" s="43" t="n">
        <f aca="false">IF(I15="Pending",0,J15-F15)</f>
        <v>-50</v>
      </c>
      <c r="L15" s="44" t="s">
        <v>114</v>
      </c>
    </row>
    <row r="16" customFormat="false" ht="15" hidden="false" customHeight="true" outlineLevel="0" collapsed="false">
      <c r="A16" s="46"/>
      <c r="B16" s="47" t="s">
        <v>37</v>
      </c>
      <c r="C16" s="46"/>
      <c r="D16" s="46"/>
      <c r="E16" s="46"/>
      <c r="F16" s="48" t="n">
        <f aca="false">SUM(F7:F15)</f>
        <v>1050</v>
      </c>
      <c r="G16" s="49" t="n">
        <f aca="false">SUM(G7:G15)</f>
        <v>830.481932464331</v>
      </c>
      <c r="H16" s="49" t="n">
        <f aca="false">SUM(H7:H15)</f>
        <v>1880.48193246433</v>
      </c>
      <c r="I16" s="46"/>
      <c r="J16" s="49" t="n">
        <f aca="false">SUM(J7:J15)</f>
        <v>1215.1103728313</v>
      </c>
      <c r="K16" s="50" t="n">
        <f aca="false">SUM(K7:K15)</f>
        <v>165.110372831303</v>
      </c>
      <c r="L16" s="46"/>
    </row>
    <row r="18" customFormat="false" ht="15" hidden="false" customHeight="true" outlineLevel="0" collapsed="false">
      <c r="B18" s="4" t="s">
        <v>115</v>
      </c>
    </row>
    <row r="19" customFormat="false" ht="15" hidden="false" customHeight="true" outlineLevel="0" collapsed="false">
      <c r="B19" s="37" t="s">
        <v>116</v>
      </c>
      <c r="C19" s="51" t="n">
        <f aca="false">COUNTIF(I7:I15,"Win")</f>
        <v>6</v>
      </c>
    </row>
    <row r="20" customFormat="false" ht="15" hidden="false" customHeight="true" outlineLevel="0" collapsed="false">
      <c r="B20" s="37" t="s">
        <v>117</v>
      </c>
      <c r="C20" s="51" t="n">
        <f aca="false">COUNTIF(I7:I15,"Loss")</f>
        <v>3</v>
      </c>
    </row>
    <row r="21" customFormat="false" ht="15" hidden="false" customHeight="true" outlineLevel="0" collapsed="false">
      <c r="B21" s="37" t="s">
        <v>118</v>
      </c>
      <c r="C21" s="51" t="n">
        <f aca="false">COUNTIF(I7:I15,"Push")</f>
        <v>0</v>
      </c>
    </row>
    <row r="22" customFormat="false" ht="15" hidden="false" customHeight="true" outlineLevel="0" collapsed="false">
      <c r="B22" s="37" t="s">
        <v>119</v>
      </c>
      <c r="C22" s="51" t="n">
        <f aca="false">COUNTIF(I7:I15,"Pending")</f>
        <v>0</v>
      </c>
    </row>
    <row r="23" customFormat="false" ht="15" hidden="false" customHeight="true" outlineLevel="0" collapsed="false">
      <c r="B23" s="37" t="s">
        <v>120</v>
      </c>
      <c r="C23" s="52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37" t="s">
        <v>121</v>
      </c>
      <c r="C24" s="33" t="n">
        <f aca="false">SUM(F7:F15)</f>
        <v>1050</v>
      </c>
    </row>
    <row r="25" customFormat="false" ht="15" hidden="false" customHeight="true" outlineLevel="0" collapsed="false">
      <c r="B25" s="37" t="s">
        <v>122</v>
      </c>
      <c r="C25" s="41" t="n">
        <f aca="false">SUM(J7:J15)</f>
        <v>1215.1103728313</v>
      </c>
    </row>
    <row r="26" customFormat="false" ht="15" hidden="false" customHeight="true" outlineLevel="0" collapsed="false">
      <c r="B26" s="37" t="s">
        <v>123</v>
      </c>
      <c r="C26" s="43" t="n">
        <f aca="false">SUM(K7:K15)</f>
        <v>165.110372831303</v>
      </c>
    </row>
    <row r="27" customFormat="false" ht="15" hidden="false" customHeight="true" outlineLevel="0" collapsed="false">
      <c r="B27" s="37" t="s">
        <v>124</v>
      </c>
      <c r="C27" s="52" t="n">
        <f aca="false">IF(SUM(F7:F15)=0,"—",SUM(K7:K15)/SUM(F7:F15))</f>
        <v>0.157247974125051</v>
      </c>
    </row>
    <row r="28" customFormat="false" ht="15" hidden="false" customHeight="true" outlineLevel="0" collapsed="false">
      <c r="B28" s="37" t="s">
        <v>125</v>
      </c>
      <c r="C28" s="41" t="n">
        <f aca="false">SUM(H7:H15)</f>
        <v>1880.48193246433</v>
      </c>
    </row>
    <row r="30" customFormat="false" ht="15" hidden="false" customHeight="true" outlineLevel="0" collapsed="false">
      <c r="A30" s="4" t="s">
        <v>126</v>
      </c>
    </row>
    <row r="31" customFormat="false" ht="34.5" hidden="false" customHeight="true" outlineLevel="0" collapsed="false">
      <c r="A31" s="12" t="s">
        <v>12</v>
      </c>
      <c r="B31" s="12" t="s">
        <v>127</v>
      </c>
      <c r="C31" s="12" t="s">
        <v>128</v>
      </c>
      <c r="D31" s="12" t="s">
        <v>129</v>
      </c>
      <c r="E31" s="12" t="s">
        <v>130</v>
      </c>
      <c r="F31" s="12" t="s">
        <v>131</v>
      </c>
    </row>
    <row r="32" customFormat="false" ht="15" hidden="false" customHeight="true" outlineLevel="0" collapsed="false">
      <c r="A32" s="32" t="n">
        <v>1</v>
      </c>
      <c r="B32" s="37" t="s">
        <v>132</v>
      </c>
      <c r="C32" s="44" t="s">
        <v>133</v>
      </c>
      <c r="D32" s="53" t="s">
        <v>134</v>
      </c>
      <c r="E32" s="54" t="s">
        <v>135</v>
      </c>
      <c r="F32" s="54" t="s">
        <v>136</v>
      </c>
    </row>
    <row r="33" customFormat="false" ht="15" hidden="false" customHeight="true" outlineLevel="0" collapsed="false">
      <c r="A33" s="32" t="n">
        <v>2</v>
      </c>
      <c r="B33" s="37" t="s">
        <v>137</v>
      </c>
      <c r="C33" s="44" t="s">
        <v>138</v>
      </c>
      <c r="D33" s="53" t="s">
        <v>139</v>
      </c>
      <c r="E33" s="54" t="s">
        <v>140</v>
      </c>
      <c r="F33" s="54" t="s">
        <v>141</v>
      </c>
    </row>
    <row r="34" customFormat="false" ht="15" hidden="false" customHeight="true" outlineLevel="0" collapsed="false">
      <c r="A34" s="32" t="n">
        <v>3</v>
      </c>
      <c r="B34" s="37" t="s">
        <v>142</v>
      </c>
      <c r="C34" s="44" t="s">
        <v>143</v>
      </c>
      <c r="D34" s="53" t="s">
        <v>144</v>
      </c>
      <c r="E34" s="54" t="s">
        <v>145</v>
      </c>
      <c r="F34" s="54" t="s">
        <v>146</v>
      </c>
    </row>
    <row r="35" customFormat="false" ht="15" hidden="false" customHeight="true" outlineLevel="0" collapsed="false">
      <c r="A35" s="32" t="n">
        <v>4</v>
      </c>
      <c r="B35" s="37" t="s">
        <v>147</v>
      </c>
      <c r="C35" s="44" t="s">
        <v>148</v>
      </c>
      <c r="D35" s="53" t="s">
        <v>149</v>
      </c>
      <c r="E35" s="54" t="s">
        <v>150</v>
      </c>
      <c r="F35" s="54" t="s">
        <v>151</v>
      </c>
    </row>
    <row r="36" customFormat="false" ht="15" hidden="false" customHeight="true" outlineLevel="0" collapsed="false">
      <c r="A36" s="32" t="n">
        <v>5</v>
      </c>
      <c r="B36" s="37" t="s">
        <v>152</v>
      </c>
      <c r="C36" s="44" t="s">
        <v>153</v>
      </c>
      <c r="D36" s="53" t="s">
        <v>154</v>
      </c>
      <c r="E36" s="54" t="s">
        <v>155</v>
      </c>
      <c r="F36" s="54" t="s">
        <v>156</v>
      </c>
    </row>
    <row r="37" customFormat="false" ht="15" hidden="false" customHeight="true" outlineLevel="0" collapsed="false">
      <c r="A37" s="32" t="n">
        <v>6</v>
      </c>
      <c r="B37" s="37" t="s">
        <v>157</v>
      </c>
      <c r="C37" s="44" t="s">
        <v>158</v>
      </c>
      <c r="D37" s="53" t="s">
        <v>45</v>
      </c>
      <c r="E37" s="54" t="s">
        <v>159</v>
      </c>
      <c r="F37" s="54" t="s">
        <v>160</v>
      </c>
    </row>
    <row r="39" customFormat="false" ht="15" hidden="false" customHeight="true" outlineLevel="0" collapsed="false">
      <c r="A39" s="34" t="s">
        <v>161</v>
      </c>
    </row>
    <row r="40" customFormat="false" ht="15" hidden="false" customHeight="true" outlineLevel="0" collapsed="false">
      <c r="A40" s="34" t="s">
        <v>162</v>
      </c>
    </row>
    <row r="41" customFormat="false" ht="15" hidden="false" customHeight="true" outlineLevel="0" collapsed="false">
      <c r="A41" s="34" t="s">
        <v>163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35" t="s">
        <v>164</v>
      </c>
      <c r="H1" s="55" t="s">
        <v>165</v>
      </c>
    </row>
    <row r="2" customFormat="false" ht="15" hidden="false" customHeight="true" outlineLevel="0" collapsed="false">
      <c r="A2" s="3" t="s">
        <v>166</v>
      </c>
    </row>
    <row r="3" customFormat="false" ht="15" hidden="false" customHeight="true" outlineLevel="0" collapsed="false">
      <c r="A3" s="3" t="s">
        <v>167</v>
      </c>
    </row>
    <row r="5" customFormat="false" ht="15" hidden="false" customHeight="true" outlineLevel="0" collapsed="false">
      <c r="A5" s="4" t="s">
        <v>72</v>
      </c>
    </row>
    <row r="6" customFormat="false" ht="24" hidden="false" customHeight="true" outlineLevel="0" collapsed="false">
      <c r="A6" s="12" t="s">
        <v>12</v>
      </c>
      <c r="B6" s="12" t="s">
        <v>73</v>
      </c>
      <c r="C6" s="12" t="s">
        <v>168</v>
      </c>
      <c r="D6" s="12" t="s">
        <v>75</v>
      </c>
      <c r="E6" s="12" t="s">
        <v>76</v>
      </c>
      <c r="F6" s="12" t="s">
        <v>42</v>
      </c>
      <c r="G6" s="12" t="s">
        <v>77</v>
      </c>
      <c r="H6" s="12" t="s">
        <v>78</v>
      </c>
      <c r="I6" s="12" t="s">
        <v>79</v>
      </c>
      <c r="J6" s="12" t="s">
        <v>80</v>
      </c>
      <c r="K6" s="12" t="s">
        <v>81</v>
      </c>
      <c r="L6" s="12" t="s">
        <v>82</v>
      </c>
    </row>
    <row r="7" customFormat="false" ht="15" hidden="false" customHeight="true" outlineLevel="0" collapsed="false">
      <c r="A7" s="32" t="n">
        <v>1</v>
      </c>
      <c r="B7" s="37" t="s">
        <v>169</v>
      </c>
      <c r="C7" s="38" t="s">
        <v>170</v>
      </c>
      <c r="D7" s="32" t="s">
        <v>171</v>
      </c>
      <c r="E7" s="39" t="n">
        <v>-144</v>
      </c>
      <c r="F7" s="40" t="n">
        <v>300</v>
      </c>
      <c r="G7" s="41" t="n">
        <f aca="false">IF(E7&gt;0,F7*E7/100,F7*100/ABS(E7))</f>
        <v>208.333333333333</v>
      </c>
      <c r="H7" s="41" t="n">
        <f aca="false">F7+G7</f>
        <v>508.333333333333</v>
      </c>
      <c r="I7" s="56" t="s">
        <v>119</v>
      </c>
      <c r="J7" s="41" t="n">
        <f aca="false">IF(I7="Win",F7+G7,IF(I7="Push",F7,IF(I7="Loss",0,0)))</f>
        <v>0</v>
      </c>
      <c r="K7" s="43" t="n">
        <f aca="false">IF(I7="Pending",0,J7-F7)</f>
        <v>0</v>
      </c>
      <c r="L7" s="44" t="s">
        <v>172</v>
      </c>
    </row>
    <row r="8" customFormat="false" ht="15" hidden="false" customHeight="true" outlineLevel="0" collapsed="false">
      <c r="A8" s="32" t="n">
        <v>2</v>
      </c>
      <c r="B8" s="37" t="s">
        <v>173</v>
      </c>
      <c r="C8" s="38" t="s">
        <v>174</v>
      </c>
      <c r="D8" s="32" t="s">
        <v>175</v>
      </c>
      <c r="E8" s="39" t="n">
        <v>-122</v>
      </c>
      <c r="F8" s="40" t="n">
        <v>120</v>
      </c>
      <c r="G8" s="41" t="n">
        <f aca="false">IF(E8&gt;0,F8*E8/100,F8*100/ABS(E8))</f>
        <v>98.3606557377049</v>
      </c>
      <c r="H8" s="41" t="n">
        <f aca="false">F8+G8</f>
        <v>218.360655737705</v>
      </c>
      <c r="I8" s="56" t="s">
        <v>119</v>
      </c>
      <c r="J8" s="41" t="n">
        <f aca="false">IF(I8="Win",F8+G8,IF(I8="Push",F8,IF(I8="Loss",0,0)))</f>
        <v>0</v>
      </c>
      <c r="K8" s="43" t="n">
        <f aca="false">IF(I8="Pending",0,J8-F8)</f>
        <v>0</v>
      </c>
      <c r="L8" s="44" t="s">
        <v>176</v>
      </c>
    </row>
    <row r="9" customFormat="false" ht="15" hidden="false" customHeight="true" outlineLevel="0" collapsed="false">
      <c r="A9" s="32" t="n">
        <v>3</v>
      </c>
      <c r="B9" s="37" t="s">
        <v>177</v>
      </c>
      <c r="C9" s="38" t="s">
        <v>178</v>
      </c>
      <c r="D9" s="32" t="s">
        <v>179</v>
      </c>
      <c r="E9" s="39" t="n">
        <v>175</v>
      </c>
      <c r="F9" s="40" t="n">
        <v>150</v>
      </c>
      <c r="G9" s="41" t="n">
        <f aca="false">IF(E9&gt;0,F9*E9/100,F9*100/ABS(E9))</f>
        <v>262.5</v>
      </c>
      <c r="H9" s="41" t="n">
        <f aca="false">F9+G9</f>
        <v>412.5</v>
      </c>
      <c r="I9" s="56" t="s">
        <v>119</v>
      </c>
      <c r="J9" s="41" t="n">
        <f aca="false">IF(I9="Win",F9+G9,IF(I9="Push",F9,IF(I9="Loss",0,0)))</f>
        <v>0</v>
      </c>
      <c r="K9" s="43" t="n">
        <f aca="false">IF(I9="Pending",0,J9-F9)</f>
        <v>0</v>
      </c>
      <c r="L9" s="44" t="s">
        <v>180</v>
      </c>
    </row>
    <row r="10" customFormat="false" ht="15" hidden="false" customHeight="true" outlineLevel="0" collapsed="false">
      <c r="A10" s="32" t="n">
        <v>4</v>
      </c>
      <c r="B10" s="37" t="s">
        <v>181</v>
      </c>
      <c r="C10" s="38" t="s">
        <v>182</v>
      </c>
      <c r="D10" s="32" t="s">
        <v>179</v>
      </c>
      <c r="E10" s="39" t="n">
        <v>205</v>
      </c>
      <c r="F10" s="40" t="n">
        <v>80</v>
      </c>
      <c r="G10" s="41" t="n">
        <f aca="false">IF(E10&gt;0,F10*E10/100,F10*100/ABS(E10))</f>
        <v>164</v>
      </c>
      <c r="H10" s="41" t="n">
        <f aca="false">F10+G10</f>
        <v>244</v>
      </c>
      <c r="I10" s="56" t="s">
        <v>119</v>
      </c>
      <c r="J10" s="41" t="n">
        <f aca="false">IF(I10="Win",F10+G10,IF(I10="Push",F10,IF(I10="Loss",0,0)))</f>
        <v>0</v>
      </c>
      <c r="K10" s="43" t="n">
        <f aca="false">IF(I10="Pending",0,J10-F10)</f>
        <v>0</v>
      </c>
      <c r="L10" s="44" t="s">
        <v>183</v>
      </c>
    </row>
    <row r="11" customFormat="false" ht="15" hidden="false" customHeight="true" outlineLevel="0" collapsed="false">
      <c r="A11" s="32" t="n">
        <v>5</v>
      </c>
      <c r="B11" s="37" t="s">
        <v>184</v>
      </c>
      <c r="C11" s="38" t="s">
        <v>185</v>
      </c>
      <c r="D11" s="32" t="s">
        <v>186</v>
      </c>
      <c r="E11" s="39" t="n">
        <v>160</v>
      </c>
      <c r="F11" s="40" t="n">
        <v>250</v>
      </c>
      <c r="G11" s="41" t="n">
        <f aca="false">IF(E11&gt;0,F11*E11/100,F11*100/ABS(E11))</f>
        <v>400</v>
      </c>
      <c r="H11" s="41" t="n">
        <f aca="false">F11+G11</f>
        <v>650</v>
      </c>
      <c r="I11" s="56" t="s">
        <v>119</v>
      </c>
      <c r="J11" s="41" t="n">
        <f aca="false">IF(I11="Win",F11+G11,IF(I11="Push",F11,IF(I11="Loss",0,0)))</f>
        <v>0</v>
      </c>
      <c r="K11" s="43" t="n">
        <f aca="false">IF(I11="Pending",0,J11-F11)</f>
        <v>0</v>
      </c>
      <c r="L11" s="44" t="s">
        <v>187</v>
      </c>
    </row>
    <row r="12" customFormat="false" ht="15" hidden="false" customHeight="true" outlineLevel="0" collapsed="false">
      <c r="A12" s="32" t="n">
        <v>6</v>
      </c>
      <c r="B12" s="37" t="s">
        <v>188</v>
      </c>
      <c r="C12" s="38" t="s">
        <v>189</v>
      </c>
      <c r="D12" s="32" t="s">
        <v>186</v>
      </c>
      <c r="E12" s="39" t="n">
        <v>500</v>
      </c>
      <c r="F12" s="40" t="n">
        <v>50</v>
      </c>
      <c r="G12" s="41" t="n">
        <f aca="false">IF(E12&gt;0,F12*E12/100,F12*100/ABS(E12))</f>
        <v>250</v>
      </c>
      <c r="H12" s="41" t="n">
        <f aca="false">F12+G12</f>
        <v>300</v>
      </c>
      <c r="I12" s="56" t="s">
        <v>119</v>
      </c>
      <c r="J12" s="41" t="n">
        <f aca="false">IF(I12="Win",F12+G12,IF(I12="Push",F12,IF(I12="Loss",0,0)))</f>
        <v>0</v>
      </c>
      <c r="K12" s="43" t="n">
        <f aca="false">IF(I12="Pending",0,J12-F12)</f>
        <v>0</v>
      </c>
      <c r="L12" s="44" t="s">
        <v>190</v>
      </c>
    </row>
    <row r="13" customFormat="false" ht="15" hidden="false" customHeight="true" outlineLevel="0" collapsed="false">
      <c r="A13" s="32" t="n">
        <v>7</v>
      </c>
      <c r="B13" s="37" t="s">
        <v>191</v>
      </c>
      <c r="C13" s="38" t="s">
        <v>192</v>
      </c>
      <c r="D13" s="32" t="s">
        <v>113</v>
      </c>
      <c r="E13" s="39" t="n">
        <v>179</v>
      </c>
      <c r="F13" s="40" t="n">
        <v>50</v>
      </c>
      <c r="G13" s="41" t="n">
        <f aca="false">IF(E13&gt;0,F13*E13/100,F13*100/ABS(E13))</f>
        <v>89.5</v>
      </c>
      <c r="H13" s="41" t="n">
        <f aca="false">F13+G13</f>
        <v>139.5</v>
      </c>
      <c r="I13" s="56" t="s">
        <v>119</v>
      </c>
      <c r="J13" s="41" t="n">
        <f aca="false">IF(I13="Win",F13+G13,IF(I13="Push",F13,IF(I13="Loss",0,0)))</f>
        <v>0</v>
      </c>
      <c r="K13" s="43" t="n">
        <f aca="false">IF(I13="Pending",0,J13-F13)</f>
        <v>0</v>
      </c>
      <c r="L13" s="44" t="s">
        <v>193</v>
      </c>
    </row>
    <row r="14" customFormat="false" ht="15" hidden="false" customHeight="true" outlineLevel="0" collapsed="false">
      <c r="A14" s="46"/>
      <c r="B14" s="47" t="s">
        <v>37</v>
      </c>
      <c r="C14" s="46"/>
      <c r="D14" s="46"/>
      <c r="E14" s="46"/>
      <c r="F14" s="48" t="n">
        <f aca="false">SUM(F7:F13)</f>
        <v>1000</v>
      </c>
      <c r="G14" s="49" t="n">
        <f aca="false">SUM(G7:G13)</f>
        <v>1472.69398907104</v>
      </c>
      <c r="H14" s="49" t="n">
        <f aca="false">SUM(H7:H13)</f>
        <v>2472.69398907104</v>
      </c>
      <c r="I14" s="46"/>
      <c r="J14" s="49" t="n">
        <f aca="false">SUM(J7:J13)</f>
        <v>0</v>
      </c>
      <c r="K14" s="50" t="n">
        <f aca="false">SUM(K7:K13)</f>
        <v>0</v>
      </c>
      <c r="L14" s="46"/>
    </row>
    <row r="16" customFormat="false" ht="15" hidden="false" customHeight="true" outlineLevel="0" collapsed="false">
      <c r="B16" s="4" t="s">
        <v>115</v>
      </c>
    </row>
    <row r="17" customFormat="false" ht="15" hidden="false" customHeight="true" outlineLevel="0" collapsed="false">
      <c r="B17" s="37" t="s">
        <v>116</v>
      </c>
      <c r="C17" s="51" t="n">
        <f aca="false">COUNTIF(I7:I13,"Win")</f>
        <v>0</v>
      </c>
    </row>
    <row r="18" customFormat="false" ht="15" hidden="false" customHeight="true" outlineLevel="0" collapsed="false">
      <c r="B18" s="37" t="s">
        <v>117</v>
      </c>
      <c r="C18" s="51" t="n">
        <f aca="false">COUNTIF(I7:I13,"Loss")</f>
        <v>0</v>
      </c>
    </row>
    <row r="19" customFormat="false" ht="15" hidden="false" customHeight="true" outlineLevel="0" collapsed="false">
      <c r="B19" s="37" t="s">
        <v>118</v>
      </c>
      <c r="C19" s="51" t="n">
        <f aca="false">COUNTIF(I7:I13,"Push")</f>
        <v>0</v>
      </c>
    </row>
    <row r="20" customFormat="false" ht="15" hidden="false" customHeight="true" outlineLevel="0" collapsed="false">
      <c r="B20" s="37" t="s">
        <v>119</v>
      </c>
      <c r="C20" s="51" t="n">
        <f aca="false">COUNTIF(I7:I13,"Pending")</f>
        <v>7</v>
      </c>
    </row>
    <row r="21" customFormat="false" ht="15" hidden="false" customHeight="true" outlineLevel="0" collapsed="false">
      <c r="B21" s="37" t="s">
        <v>120</v>
      </c>
      <c r="C21" s="52" t="str">
        <f aca="false">IF(COUNTIF(I7:I13,"Win")+COUNTIF(I7:I13,"Loss")=0,"—",COUNTIF(I7:I13,"Win")/(COUNTIF(I7:I13,"Win")+COUNTIF(I7:I13,"Loss")))</f>
        <v>—</v>
      </c>
    </row>
    <row r="22" customFormat="false" ht="15" hidden="false" customHeight="true" outlineLevel="0" collapsed="false">
      <c r="B22" s="37" t="s">
        <v>121</v>
      </c>
      <c r="C22" s="33" t="n">
        <f aca="false">SUM(F7:F13)</f>
        <v>1000</v>
      </c>
    </row>
    <row r="23" customFormat="false" ht="15" hidden="false" customHeight="true" outlineLevel="0" collapsed="false">
      <c r="B23" s="37" t="s">
        <v>122</v>
      </c>
      <c r="C23" s="41" t="n">
        <f aca="false">SUM(J7:J13)</f>
        <v>0</v>
      </c>
    </row>
    <row r="24" customFormat="false" ht="15" hidden="false" customHeight="true" outlineLevel="0" collapsed="false">
      <c r="B24" s="37" t="s">
        <v>123</v>
      </c>
      <c r="C24" s="43" t="n">
        <f aca="false">SUM(K7:K13)</f>
        <v>0</v>
      </c>
    </row>
    <row r="25" customFormat="false" ht="15" hidden="false" customHeight="true" outlineLevel="0" collapsed="false">
      <c r="B25" s="37" t="s">
        <v>124</v>
      </c>
      <c r="C25" s="52" t="n">
        <f aca="false">IF(SUM(F7:F13)=0,"—",SUM(K7:K13)/SUM(F7:F13))</f>
        <v>0</v>
      </c>
    </row>
    <row r="26" customFormat="false" ht="15" hidden="false" customHeight="true" outlineLevel="0" collapsed="false">
      <c r="B26" s="37" t="s">
        <v>194</v>
      </c>
      <c r="C26" s="33" t="n">
        <f aca="false">929</f>
        <v>929</v>
      </c>
    </row>
    <row r="28" customFormat="false" ht="15" hidden="false" customHeight="true" outlineLevel="0" collapsed="false">
      <c r="A28" s="4" t="s">
        <v>195</v>
      </c>
    </row>
    <row r="29" customFormat="false" ht="34.5" hidden="false" customHeight="true" outlineLevel="0" collapsed="false">
      <c r="A29" s="12" t="s">
        <v>12</v>
      </c>
      <c r="B29" s="12" t="s">
        <v>196</v>
      </c>
      <c r="C29" s="12" t="s">
        <v>128</v>
      </c>
      <c r="D29" s="12" t="s">
        <v>129</v>
      </c>
      <c r="E29" s="12" t="s">
        <v>197</v>
      </c>
      <c r="F29" s="12" t="s">
        <v>131</v>
      </c>
    </row>
    <row r="30" customFormat="false" ht="15" hidden="false" customHeight="true" outlineLevel="0" collapsed="false">
      <c r="A30" s="32" t="n">
        <v>1</v>
      </c>
      <c r="B30" s="37" t="s">
        <v>198</v>
      </c>
      <c r="C30" s="44" t="s">
        <v>199</v>
      </c>
      <c r="D30" s="53" t="s">
        <v>200</v>
      </c>
      <c r="E30" s="56"/>
      <c r="F30" s="56"/>
    </row>
    <row r="31" customFormat="false" ht="15" hidden="false" customHeight="true" outlineLevel="0" collapsed="false">
      <c r="A31" s="32" t="n">
        <v>2</v>
      </c>
      <c r="B31" s="37" t="s">
        <v>201</v>
      </c>
      <c r="C31" s="44" t="s">
        <v>202</v>
      </c>
      <c r="D31" s="53" t="s">
        <v>203</v>
      </c>
      <c r="E31" s="56"/>
      <c r="F31" s="56"/>
    </row>
    <row r="32" customFormat="false" ht="15" hidden="false" customHeight="true" outlineLevel="0" collapsed="false">
      <c r="A32" s="32" t="n">
        <v>3</v>
      </c>
      <c r="B32" s="37" t="s">
        <v>204</v>
      </c>
      <c r="C32" s="44" t="s">
        <v>205</v>
      </c>
      <c r="D32" s="53" t="s">
        <v>206</v>
      </c>
      <c r="E32" s="56"/>
      <c r="F32" s="56"/>
    </row>
    <row r="33" customFormat="false" ht="15" hidden="false" customHeight="true" outlineLevel="0" collapsed="false">
      <c r="A33" s="32" t="n">
        <v>4</v>
      </c>
      <c r="B33" s="37" t="s">
        <v>207</v>
      </c>
      <c r="C33" s="44" t="s">
        <v>208</v>
      </c>
      <c r="D33" s="53" t="s">
        <v>209</v>
      </c>
      <c r="E33" s="56"/>
      <c r="F33" s="56"/>
    </row>
    <row r="35" customFormat="false" ht="15" hidden="false" customHeight="true" outlineLevel="0" collapsed="false">
      <c r="A35" s="34" t="s">
        <v>210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5" t="s">
        <v>211</v>
      </c>
      <c r="H1" s="36" t="s">
        <v>212</v>
      </c>
    </row>
    <row r="2" customFormat="false" ht="15" hidden="false" customHeight="true" outlineLevel="0" collapsed="false">
      <c r="A2" s="3" t="s">
        <v>213</v>
      </c>
    </row>
    <row r="3" customFormat="false" ht="15" hidden="false" customHeight="true" outlineLevel="0" collapsed="false">
      <c r="A3" s="3" t="s">
        <v>214</v>
      </c>
    </row>
    <row r="5" customFormat="false" ht="15" hidden="false" customHeight="true" outlineLevel="0" collapsed="false">
      <c r="A5" s="4" t="s">
        <v>72</v>
      </c>
    </row>
    <row r="6" customFormat="false" ht="24" hidden="false" customHeight="true" outlineLevel="0" collapsed="false">
      <c r="A6" s="12" t="s">
        <v>12</v>
      </c>
      <c r="B6" s="12" t="s">
        <v>73</v>
      </c>
      <c r="C6" s="12" t="s">
        <v>215</v>
      </c>
      <c r="D6" s="12" t="s">
        <v>75</v>
      </c>
      <c r="E6" s="12" t="s">
        <v>76</v>
      </c>
      <c r="F6" s="12" t="s">
        <v>42</v>
      </c>
      <c r="G6" s="12" t="s">
        <v>77</v>
      </c>
      <c r="H6" s="12" t="s">
        <v>78</v>
      </c>
      <c r="I6" s="12" t="s">
        <v>79</v>
      </c>
      <c r="J6" s="12" t="s">
        <v>80</v>
      </c>
      <c r="K6" s="12" t="s">
        <v>81</v>
      </c>
      <c r="L6" s="12" t="s">
        <v>216</v>
      </c>
      <c r="M6" s="12" t="s">
        <v>82</v>
      </c>
    </row>
    <row r="7" customFormat="false" ht="15" hidden="false" customHeight="true" outlineLevel="0" collapsed="false">
      <c r="A7" s="32" t="n">
        <v>1</v>
      </c>
      <c r="B7" s="37" t="s">
        <v>217</v>
      </c>
      <c r="C7" s="38" t="s">
        <v>218</v>
      </c>
      <c r="D7" s="32" t="s">
        <v>85</v>
      </c>
      <c r="E7" s="39" t="n">
        <v>-155</v>
      </c>
      <c r="F7" s="40" t="n">
        <v>200</v>
      </c>
      <c r="G7" s="41" t="n">
        <f aca="false">IF(E7&gt;0,F7*E7/100,F7*100/ABS(E7))</f>
        <v>129.032258064516</v>
      </c>
      <c r="H7" s="41" t="n">
        <f aca="false">F7+G7</f>
        <v>329.032258064516</v>
      </c>
      <c r="I7" s="42" t="s">
        <v>86</v>
      </c>
      <c r="J7" s="41" t="n">
        <f aca="false">IF(I7="Win",F7+G7,IF(I7="Push",F7,IF(I7="Loss",0,0)))</f>
        <v>329.032258064516</v>
      </c>
      <c r="K7" s="43" t="n">
        <f aca="false">IF(I7="Pending",0,J7-F7)</f>
        <v>129.032258064516</v>
      </c>
      <c r="L7" s="57" t="n">
        <v>0.62</v>
      </c>
      <c r="M7" s="44" t="s">
        <v>219</v>
      </c>
    </row>
    <row r="8" customFormat="false" ht="15" hidden="false" customHeight="true" outlineLevel="0" collapsed="false">
      <c r="A8" s="32" t="n">
        <v>2</v>
      </c>
      <c r="B8" s="37" t="s">
        <v>220</v>
      </c>
      <c r="C8" s="38" t="s">
        <v>221</v>
      </c>
      <c r="D8" s="32" t="s">
        <v>85</v>
      </c>
      <c r="E8" s="39" t="n">
        <v>-104</v>
      </c>
      <c r="F8" s="40" t="n">
        <v>150</v>
      </c>
      <c r="G8" s="41" t="n">
        <f aca="false">IF(E8&gt;0,F8*E8/100,F8*100/ABS(E8))</f>
        <v>144.230769230769</v>
      </c>
      <c r="H8" s="41" t="n">
        <f aca="false">F8+G8</f>
        <v>294.230769230769</v>
      </c>
      <c r="I8" s="45" t="s">
        <v>94</v>
      </c>
      <c r="J8" s="41" t="n">
        <f aca="false">IF(I8="Win",F8+G8,IF(I8="Push",F8,IF(I8="Loss",0,0)))</f>
        <v>0</v>
      </c>
      <c r="K8" s="43" t="n">
        <f aca="false">IF(I8="Pending",0,J8-F8)</f>
        <v>-150</v>
      </c>
      <c r="L8" s="57" t="n">
        <v>0.54</v>
      </c>
      <c r="M8" s="44" t="s">
        <v>222</v>
      </c>
    </row>
    <row r="9" customFormat="false" ht="15" hidden="false" customHeight="true" outlineLevel="0" collapsed="false">
      <c r="A9" s="32" t="n">
        <v>3</v>
      </c>
      <c r="B9" s="37" t="s">
        <v>223</v>
      </c>
      <c r="C9" s="38" t="s">
        <v>224</v>
      </c>
      <c r="D9" s="32" t="s">
        <v>85</v>
      </c>
      <c r="E9" s="39" t="n">
        <v>-115</v>
      </c>
      <c r="F9" s="40" t="n">
        <v>150</v>
      </c>
      <c r="G9" s="41" t="n">
        <f aca="false">IF(E9&gt;0,F9*E9/100,F9*100/ABS(E9))</f>
        <v>130.434782608696</v>
      </c>
      <c r="H9" s="41" t="n">
        <f aca="false">F9+G9</f>
        <v>280.434782608696</v>
      </c>
      <c r="I9" s="45" t="s">
        <v>94</v>
      </c>
      <c r="J9" s="41" t="n">
        <f aca="false">IF(I9="Win",F9+G9,IF(I9="Push",F9,IF(I9="Loss",0,0)))</f>
        <v>0</v>
      </c>
      <c r="K9" s="43" t="n">
        <f aca="false">IF(I9="Pending",0,J9-F9)</f>
        <v>-150</v>
      </c>
      <c r="L9" s="57" t="n">
        <v>0.55</v>
      </c>
      <c r="M9" s="44" t="s">
        <v>225</v>
      </c>
    </row>
    <row r="10" customFormat="false" ht="15" hidden="false" customHeight="true" outlineLevel="0" collapsed="false">
      <c r="A10" s="32" t="n">
        <v>4</v>
      </c>
      <c r="B10" s="37" t="s">
        <v>226</v>
      </c>
      <c r="C10" s="38" t="s">
        <v>227</v>
      </c>
      <c r="D10" s="32" t="s">
        <v>175</v>
      </c>
      <c r="E10" s="39" t="n">
        <v>-114</v>
      </c>
      <c r="F10" s="40" t="n">
        <v>120</v>
      </c>
      <c r="G10" s="41" t="n">
        <f aca="false">IF(E10&gt;0,F10*E10/100,F10*100/ABS(E10))</f>
        <v>105.263157894737</v>
      </c>
      <c r="H10" s="41" t="n">
        <f aca="false">F10+G10</f>
        <v>225.263157894737</v>
      </c>
      <c r="I10" s="45" t="s">
        <v>94</v>
      </c>
      <c r="J10" s="41" t="n">
        <f aca="false">IF(I10="Win",F10+G10,IF(I10="Push",F10,IF(I10="Loss",0,0)))</f>
        <v>0</v>
      </c>
      <c r="K10" s="43" t="n">
        <f aca="false">IF(I10="Pending",0,J10-F10)</f>
        <v>-120</v>
      </c>
      <c r="L10" s="57" t="n">
        <v>0.55</v>
      </c>
      <c r="M10" s="44" t="s">
        <v>228</v>
      </c>
    </row>
    <row r="11" customFormat="false" ht="15" hidden="false" customHeight="true" outlineLevel="0" collapsed="false">
      <c r="A11" s="32" t="n">
        <v>5</v>
      </c>
      <c r="B11" s="37" t="s">
        <v>229</v>
      </c>
      <c r="C11" s="38" t="s">
        <v>230</v>
      </c>
      <c r="D11" s="32" t="s">
        <v>85</v>
      </c>
      <c r="E11" s="39" t="n">
        <v>104</v>
      </c>
      <c r="F11" s="40" t="n">
        <v>130</v>
      </c>
      <c r="G11" s="41" t="n">
        <f aca="false">IF(E11&gt;0,F11*E11/100,F11*100/ABS(E11))</f>
        <v>135.2</v>
      </c>
      <c r="H11" s="41" t="n">
        <f aca="false">F11+G11</f>
        <v>265.2</v>
      </c>
      <c r="I11" s="42" t="s">
        <v>86</v>
      </c>
      <c r="J11" s="41" t="n">
        <f aca="false">IF(I11="Win",F11+G11,IF(I11="Push",F11,IF(I11="Loss",0,0)))</f>
        <v>265.2</v>
      </c>
      <c r="K11" s="43" t="n">
        <f aca="false">IF(I11="Pending",0,J11-F11)</f>
        <v>135.2</v>
      </c>
      <c r="L11" s="57" t="n">
        <v>0.52</v>
      </c>
      <c r="M11" s="44" t="s">
        <v>231</v>
      </c>
    </row>
    <row r="12" customFormat="false" ht="15" hidden="false" customHeight="true" outlineLevel="0" collapsed="false">
      <c r="A12" s="32" t="n">
        <v>6</v>
      </c>
      <c r="B12" s="37" t="s">
        <v>232</v>
      </c>
      <c r="C12" s="38" t="s">
        <v>233</v>
      </c>
      <c r="D12" s="32" t="s">
        <v>85</v>
      </c>
      <c r="E12" s="39" t="n">
        <v>108</v>
      </c>
      <c r="F12" s="40" t="n">
        <v>100</v>
      </c>
      <c r="G12" s="41" t="n">
        <f aca="false">IF(E12&gt;0,F12*E12/100,F12*100/ABS(E12))</f>
        <v>108</v>
      </c>
      <c r="H12" s="41" t="n">
        <f aca="false">F12+G12</f>
        <v>208</v>
      </c>
      <c r="I12" s="45" t="s">
        <v>94</v>
      </c>
      <c r="J12" s="41" t="n">
        <f aca="false">IF(I12="Win",F12+G12,IF(I12="Push",F12,IF(I12="Loss",0,0)))</f>
        <v>0</v>
      </c>
      <c r="K12" s="43" t="n">
        <f aca="false">IF(I12="Pending",0,J12-F12)</f>
        <v>-100</v>
      </c>
      <c r="L12" s="57" t="n">
        <v>0.5</v>
      </c>
      <c r="M12" s="44" t="s">
        <v>234</v>
      </c>
    </row>
    <row r="13" customFormat="false" ht="15" hidden="false" customHeight="true" outlineLevel="0" collapsed="false">
      <c r="A13" s="32" t="n">
        <v>7</v>
      </c>
      <c r="B13" s="37" t="s">
        <v>235</v>
      </c>
      <c r="C13" s="38" t="s">
        <v>236</v>
      </c>
      <c r="D13" s="32" t="s">
        <v>85</v>
      </c>
      <c r="E13" s="39" t="n">
        <v>108</v>
      </c>
      <c r="F13" s="40" t="n">
        <v>100</v>
      </c>
      <c r="G13" s="41" t="n">
        <f aca="false">IF(E13&gt;0,F13*E13/100,F13*100/ABS(E13))</f>
        <v>108</v>
      </c>
      <c r="H13" s="41" t="n">
        <f aca="false">F13+G13</f>
        <v>208</v>
      </c>
      <c r="I13" s="42" t="s">
        <v>86</v>
      </c>
      <c r="J13" s="41" t="n">
        <f aca="false">IF(I13="Win",F13+G13,IF(I13="Push",F13,IF(I13="Loss",0,0)))</f>
        <v>208</v>
      </c>
      <c r="K13" s="43" t="n">
        <f aca="false">IF(I13="Pending",0,J13-F13)</f>
        <v>108</v>
      </c>
      <c r="L13" s="57" t="n">
        <v>0.5</v>
      </c>
      <c r="M13" s="44" t="s">
        <v>237</v>
      </c>
    </row>
    <row r="14" customFormat="false" ht="15" hidden="false" customHeight="true" outlineLevel="0" collapsed="false">
      <c r="A14" s="32" t="n">
        <v>8</v>
      </c>
      <c r="B14" s="37" t="s">
        <v>238</v>
      </c>
      <c r="C14" s="38" t="s">
        <v>239</v>
      </c>
      <c r="D14" s="32" t="s">
        <v>113</v>
      </c>
      <c r="E14" s="39" t="n">
        <v>732</v>
      </c>
      <c r="F14" s="40" t="n">
        <v>50</v>
      </c>
      <c r="G14" s="41" t="n">
        <f aca="false">IF(E14&gt;0,F14*E14/100,F14*100/ABS(E14))</f>
        <v>366</v>
      </c>
      <c r="H14" s="41" t="n">
        <f aca="false">F14+G14</f>
        <v>416</v>
      </c>
      <c r="I14" s="45" t="s">
        <v>94</v>
      </c>
      <c r="J14" s="41" t="n">
        <f aca="false">IF(I14="Win",F14+G14,IF(I14="Push",F14,IF(I14="Loss",0,0)))</f>
        <v>0</v>
      </c>
      <c r="K14" s="43" t="n">
        <f aca="false">IF(I14="Pending",0,J14-F14)</f>
        <v>-50</v>
      </c>
      <c r="L14" s="57" t="n">
        <v>0.14</v>
      </c>
      <c r="M14" s="44" t="s">
        <v>240</v>
      </c>
    </row>
    <row r="15" customFormat="false" ht="15" hidden="false" customHeight="true" outlineLevel="0" collapsed="false">
      <c r="A15" s="46"/>
      <c r="B15" s="47" t="s">
        <v>37</v>
      </c>
      <c r="C15" s="46"/>
      <c r="D15" s="46"/>
      <c r="E15" s="46"/>
      <c r="F15" s="48" t="n">
        <f aca="false">SUM(F7:F14)</f>
        <v>1000</v>
      </c>
      <c r="G15" s="49" t="n">
        <f aca="false">SUM(G7:G14)</f>
        <v>1226.16096779872</v>
      </c>
      <c r="H15" s="49" t="n">
        <f aca="false">SUM(H7:H14)</f>
        <v>2226.16096779872</v>
      </c>
      <c r="I15" s="46"/>
      <c r="J15" s="49" t="n">
        <f aca="false">SUM(J7:J14)</f>
        <v>802.232258064516</v>
      </c>
      <c r="K15" s="50" t="n">
        <f aca="false">SUM(K7:K14)</f>
        <v>-197.767741935484</v>
      </c>
      <c r="L15" s="58" t="n">
        <f aca="false">SUM(L7:L14)</f>
        <v>3.92</v>
      </c>
      <c r="M15" s="46"/>
    </row>
    <row r="17" customFormat="false" ht="15" hidden="false" customHeight="true" outlineLevel="0" collapsed="false">
      <c r="B17" s="4" t="s">
        <v>115</v>
      </c>
    </row>
    <row r="18" customFormat="false" ht="15" hidden="false" customHeight="true" outlineLevel="0" collapsed="false">
      <c r="B18" s="37" t="s">
        <v>116</v>
      </c>
      <c r="C18" s="51" t="n">
        <f aca="false">COUNTIF(I7:I14,"Win")</f>
        <v>3</v>
      </c>
    </row>
    <row r="19" customFormat="false" ht="15" hidden="false" customHeight="true" outlineLevel="0" collapsed="false">
      <c r="B19" s="37" t="s">
        <v>117</v>
      </c>
      <c r="C19" s="51" t="n">
        <f aca="false">COUNTIF(I7:I14,"Loss")</f>
        <v>5</v>
      </c>
    </row>
    <row r="20" customFormat="false" ht="15" hidden="false" customHeight="true" outlineLevel="0" collapsed="false">
      <c r="B20" s="37" t="s">
        <v>118</v>
      </c>
      <c r="C20" s="51" t="n">
        <f aca="false">COUNTIF(I7:I14,"Push")</f>
        <v>0</v>
      </c>
    </row>
    <row r="21" customFormat="false" ht="15" hidden="false" customHeight="true" outlineLevel="0" collapsed="false">
      <c r="B21" s="37" t="s">
        <v>119</v>
      </c>
      <c r="C21" s="51" t="n">
        <f aca="false">COUNTIF(I7:I14,"Pending")</f>
        <v>0</v>
      </c>
    </row>
    <row r="22" customFormat="false" ht="15" hidden="false" customHeight="true" outlineLevel="0" collapsed="false">
      <c r="B22" s="37" t="s">
        <v>120</v>
      </c>
      <c r="C22" s="52" t="n">
        <f aca="false">IF(COUNTIF(I7:I14,"Win")+COUNTIF(I7:I14,"Loss")=0,"—",COUNTIF(I7:I14,"Win")/(COUNTIF(I7:I14,"Win")+COUNTIF(I7:I14,"Loss")))</f>
        <v>0.375</v>
      </c>
    </row>
    <row r="23" customFormat="false" ht="15" hidden="false" customHeight="true" outlineLevel="0" collapsed="false">
      <c r="B23" s="37" t="s">
        <v>121</v>
      </c>
      <c r="C23" s="33" t="n">
        <f aca="false">SUM(F7:F14)</f>
        <v>1000</v>
      </c>
    </row>
    <row r="24" customFormat="false" ht="15" hidden="false" customHeight="true" outlineLevel="0" collapsed="false">
      <c r="B24" s="37" t="s">
        <v>122</v>
      </c>
      <c r="C24" s="41" t="n">
        <f aca="false">SUM(J7:J14)</f>
        <v>802.232258064516</v>
      </c>
    </row>
    <row r="25" customFormat="false" ht="15" hidden="false" customHeight="true" outlineLevel="0" collapsed="false">
      <c r="B25" s="37" t="s">
        <v>123</v>
      </c>
      <c r="C25" s="43" t="n">
        <f aca="false">SUM(K7:K14)</f>
        <v>-197.767741935484</v>
      </c>
    </row>
    <row r="26" customFormat="false" ht="15" hidden="false" customHeight="true" outlineLevel="0" collapsed="false">
      <c r="B26" s="37" t="s">
        <v>124</v>
      </c>
      <c r="C26" s="52" t="n">
        <f aca="false">IF(SUM(F7:F14)=0,"—",SUM(K7:K14)/SUM(F7:F14))</f>
        <v>-0.197767741935484</v>
      </c>
    </row>
    <row r="27" customFormat="false" ht="15" hidden="false" customHeight="true" outlineLevel="0" collapsed="false">
      <c r="B27" s="37" t="s">
        <v>125</v>
      </c>
      <c r="C27" s="41" t="n">
        <f aca="false">SUM(H7:H14)</f>
        <v>2226.16096779872</v>
      </c>
    </row>
    <row r="28" customFormat="false" ht="15" hidden="false" customHeight="true" outlineLevel="0" collapsed="false">
      <c r="B28" s="37" t="s">
        <v>241</v>
      </c>
      <c r="C28" s="59" t="n">
        <f aca="false">SUM(L7:L14)</f>
        <v>3.92</v>
      </c>
    </row>
    <row r="29" customFormat="false" ht="15" hidden="false" customHeight="true" outlineLevel="0" collapsed="false">
      <c r="B29" s="37" t="s">
        <v>242</v>
      </c>
      <c r="C29" s="43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243</v>
      </c>
    </row>
    <row r="32" customFormat="false" ht="34.5" hidden="false" customHeight="true" outlineLevel="0" collapsed="false">
      <c r="A32" s="12" t="s">
        <v>12</v>
      </c>
      <c r="B32" s="12" t="s">
        <v>244</v>
      </c>
      <c r="C32" s="12" t="s">
        <v>128</v>
      </c>
      <c r="D32" s="12" t="s">
        <v>245</v>
      </c>
      <c r="E32" s="12" t="s">
        <v>130</v>
      </c>
      <c r="F32" s="12" t="s">
        <v>131</v>
      </c>
    </row>
    <row r="33" customFormat="false" ht="15" hidden="false" customHeight="true" outlineLevel="0" collapsed="false">
      <c r="A33" s="32" t="n">
        <v>1</v>
      </c>
      <c r="B33" s="37" t="s">
        <v>246</v>
      </c>
      <c r="C33" s="44" t="s">
        <v>247</v>
      </c>
      <c r="D33" s="53" t="s">
        <v>248</v>
      </c>
      <c r="E33" s="56"/>
      <c r="F33" s="56"/>
    </row>
    <row r="34" customFormat="false" ht="15" hidden="false" customHeight="true" outlineLevel="0" collapsed="false">
      <c r="A34" s="32" t="n">
        <v>2</v>
      </c>
      <c r="B34" s="37" t="s">
        <v>249</v>
      </c>
      <c r="C34" s="44" t="s">
        <v>250</v>
      </c>
      <c r="D34" s="53" t="s">
        <v>251</v>
      </c>
      <c r="E34" s="56"/>
      <c r="F34" s="56"/>
    </row>
    <row r="35" customFormat="false" ht="15" hidden="false" customHeight="true" outlineLevel="0" collapsed="false">
      <c r="A35" s="32" t="n">
        <v>3</v>
      </c>
      <c r="B35" s="37" t="s">
        <v>252</v>
      </c>
      <c r="C35" s="44" t="s">
        <v>253</v>
      </c>
      <c r="D35" s="53" t="s">
        <v>254</v>
      </c>
      <c r="E35" s="56"/>
      <c r="F35" s="56"/>
    </row>
    <row r="36" customFormat="false" ht="15" hidden="false" customHeight="true" outlineLevel="0" collapsed="false">
      <c r="A36" s="32" t="n">
        <v>4</v>
      </c>
      <c r="B36" s="37" t="s">
        <v>255</v>
      </c>
      <c r="C36" s="44" t="s">
        <v>256</v>
      </c>
      <c r="D36" s="53" t="s">
        <v>257</v>
      </c>
      <c r="E36" s="56"/>
      <c r="F36" s="56"/>
    </row>
    <row r="37" customFormat="false" ht="15" hidden="false" customHeight="true" outlineLevel="0" collapsed="false">
      <c r="A37" s="32" t="n">
        <v>5</v>
      </c>
      <c r="B37" s="37" t="s">
        <v>258</v>
      </c>
      <c r="C37" s="44" t="s">
        <v>259</v>
      </c>
      <c r="D37" s="53" t="s">
        <v>260</v>
      </c>
      <c r="E37" s="56"/>
      <c r="F37" s="56"/>
    </row>
    <row r="38" customFormat="false" ht="15" hidden="false" customHeight="true" outlineLevel="0" collapsed="false">
      <c r="A38" s="32" t="n">
        <v>6</v>
      </c>
      <c r="B38" s="37" t="s">
        <v>261</v>
      </c>
      <c r="C38" s="44" t="s">
        <v>262</v>
      </c>
      <c r="D38" s="53" t="s">
        <v>263</v>
      </c>
      <c r="E38" s="56"/>
      <c r="F38" s="56"/>
    </row>
    <row r="39" customFormat="false" ht="15" hidden="false" customHeight="true" outlineLevel="0" collapsed="false">
      <c r="A39" s="32" t="n">
        <v>7</v>
      </c>
      <c r="B39" s="37" t="s">
        <v>264</v>
      </c>
      <c r="C39" s="44" t="s">
        <v>265</v>
      </c>
      <c r="D39" s="53" t="s">
        <v>266</v>
      </c>
      <c r="E39" s="56"/>
      <c r="F39" s="56"/>
    </row>
    <row r="40" customFormat="false" ht="15" hidden="false" customHeight="true" outlineLevel="0" collapsed="false">
      <c r="A40" s="32" t="n">
        <v>8</v>
      </c>
      <c r="B40" s="37" t="s">
        <v>267</v>
      </c>
      <c r="C40" s="44" t="s">
        <v>268</v>
      </c>
      <c r="D40" s="53" t="s">
        <v>269</v>
      </c>
      <c r="E40" s="56"/>
      <c r="F40" s="56"/>
    </row>
    <row r="42" customFormat="false" ht="15" hidden="false" customHeight="true" outlineLevel="0" collapsed="false">
      <c r="A42" s="34" t="s">
        <v>270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5" t="s">
        <v>271</v>
      </c>
      <c r="H1" s="55" t="s">
        <v>272</v>
      </c>
    </row>
    <row r="2" customFormat="false" ht="15" hidden="false" customHeight="true" outlineLevel="0" collapsed="false">
      <c r="A2" s="3" t="s">
        <v>273</v>
      </c>
    </row>
    <row r="3" customFormat="false" ht="15" hidden="false" customHeight="true" outlineLevel="0" collapsed="false">
      <c r="A3" s="60" t="s">
        <v>274</v>
      </c>
    </row>
    <row r="5" customFormat="false" ht="15" hidden="false" customHeight="true" outlineLevel="0" collapsed="false">
      <c r="A5" s="4" t="s">
        <v>72</v>
      </c>
    </row>
    <row r="6" customFormat="false" ht="24" hidden="false" customHeight="true" outlineLevel="0" collapsed="false">
      <c r="A6" s="12" t="s">
        <v>12</v>
      </c>
      <c r="B6" s="12" t="s">
        <v>73</v>
      </c>
      <c r="C6" s="12" t="s">
        <v>196</v>
      </c>
      <c r="D6" s="12" t="s">
        <v>75</v>
      </c>
      <c r="E6" s="12" t="s">
        <v>76</v>
      </c>
      <c r="F6" s="12" t="s">
        <v>42</v>
      </c>
      <c r="G6" s="12" t="s">
        <v>77</v>
      </c>
      <c r="H6" s="12" t="s">
        <v>78</v>
      </c>
      <c r="I6" s="12" t="s">
        <v>79</v>
      </c>
      <c r="J6" s="12" t="s">
        <v>80</v>
      </c>
      <c r="K6" s="12" t="s">
        <v>81</v>
      </c>
      <c r="L6" s="12" t="s">
        <v>216</v>
      </c>
      <c r="M6" s="12" t="s">
        <v>82</v>
      </c>
    </row>
    <row r="7" customFormat="false" ht="15" hidden="false" customHeight="true" outlineLevel="0" collapsed="false">
      <c r="A7" s="32" t="n">
        <v>1</v>
      </c>
      <c r="B7" s="5" t="s">
        <v>275</v>
      </c>
      <c r="C7" s="31" t="s">
        <v>276</v>
      </c>
      <c r="D7" s="32" t="s">
        <v>277</v>
      </c>
      <c r="E7" s="39" t="n">
        <v>-113</v>
      </c>
      <c r="F7" s="40" t="n">
        <v>300</v>
      </c>
      <c r="G7" s="41" t="n">
        <f aca="false">IF(E7&gt;0,F7*E7/100,F7*100/ABS(E7))</f>
        <v>265.486725663717</v>
      </c>
      <c r="H7" s="41" t="n">
        <f aca="false">F7+G7</f>
        <v>565.486725663717</v>
      </c>
      <c r="I7" s="56" t="s">
        <v>86</v>
      </c>
      <c r="J7" s="41" t="n">
        <f aca="false">IF(I7="Win",F7+G7,IF(I7="Push",F7,IF(I7="Loss",0,0)))</f>
        <v>565.486725663717</v>
      </c>
      <c r="K7" s="43" t="n">
        <f aca="false">IF(I7="Pending",0,J7-F7)</f>
        <v>265.486725663717</v>
      </c>
      <c r="L7" s="57" t="n">
        <v>0.58</v>
      </c>
      <c r="M7" s="61" t="s">
        <v>278</v>
      </c>
    </row>
    <row r="8" customFormat="false" ht="15" hidden="false" customHeight="true" outlineLevel="0" collapsed="false">
      <c r="A8" s="32" t="n">
        <v>2</v>
      </c>
      <c r="B8" s="5" t="s">
        <v>279</v>
      </c>
      <c r="C8" s="31" t="s">
        <v>280</v>
      </c>
      <c r="D8" s="32" t="s">
        <v>90</v>
      </c>
      <c r="E8" s="39" t="n">
        <v>456</v>
      </c>
      <c r="F8" s="40" t="n">
        <v>200</v>
      </c>
      <c r="G8" s="41" t="n">
        <f aca="false">IF(E8&gt;0,F8*E8/100,F8*100/ABS(E8))</f>
        <v>912</v>
      </c>
      <c r="H8" s="41" t="n">
        <f aca="false">F8+G8</f>
        <v>1112</v>
      </c>
      <c r="I8" s="56" t="s">
        <v>94</v>
      </c>
      <c r="J8" s="41" t="n">
        <f aca="false">IF(I8="Win",F8+G8,IF(I8="Push",F8,IF(I8="Loss",0,0)))</f>
        <v>0</v>
      </c>
      <c r="K8" s="43" t="n">
        <f aca="false">IF(I8="Pending",0,J8-F8)</f>
        <v>-200</v>
      </c>
      <c r="L8" s="57" t="n">
        <v>0.24</v>
      </c>
      <c r="M8" s="61" t="s">
        <v>281</v>
      </c>
    </row>
    <row r="9" customFormat="false" ht="15" hidden="false" customHeight="true" outlineLevel="0" collapsed="false">
      <c r="A9" s="32" t="n">
        <v>3</v>
      </c>
      <c r="B9" s="5" t="s">
        <v>282</v>
      </c>
      <c r="C9" s="31" t="s">
        <v>283</v>
      </c>
      <c r="D9" s="32" t="s">
        <v>186</v>
      </c>
      <c r="E9" s="39" t="n">
        <v>1150</v>
      </c>
      <c r="F9" s="40" t="n">
        <v>150</v>
      </c>
      <c r="G9" s="41" t="n">
        <f aca="false">IF(E9&gt;0,F9*E9/100,F9*100/ABS(E9))</f>
        <v>1725</v>
      </c>
      <c r="H9" s="41" t="n">
        <f aca="false">F9+G9</f>
        <v>1875</v>
      </c>
      <c r="I9" s="56" t="s">
        <v>94</v>
      </c>
      <c r="J9" s="41" t="n">
        <f aca="false">IF(I9="Win",F9+G9,IF(I9="Push",F9,IF(I9="Loss",0,0)))</f>
        <v>0</v>
      </c>
      <c r="K9" s="43" t="n">
        <f aca="false">IF(I9="Pending",0,J9-F9)</f>
        <v>-150</v>
      </c>
      <c r="L9" s="57" t="n">
        <v>0.1</v>
      </c>
      <c r="M9" s="61" t="s">
        <v>284</v>
      </c>
    </row>
    <row r="10" customFormat="false" ht="15" hidden="false" customHeight="true" outlineLevel="0" collapsed="false">
      <c r="A10" s="32" t="n">
        <v>4</v>
      </c>
      <c r="B10" s="5" t="s">
        <v>285</v>
      </c>
      <c r="C10" s="31" t="s">
        <v>283</v>
      </c>
      <c r="D10" s="32" t="s">
        <v>186</v>
      </c>
      <c r="E10" s="39" t="n">
        <v>1567</v>
      </c>
      <c r="F10" s="40" t="n">
        <v>120</v>
      </c>
      <c r="G10" s="41" t="n">
        <f aca="false">IF(E10&gt;0,F10*E10/100,F10*100/ABS(E10))</f>
        <v>1880.4</v>
      </c>
      <c r="H10" s="41" t="n">
        <f aca="false">F10+G10</f>
        <v>2000.4</v>
      </c>
      <c r="I10" s="56" t="s">
        <v>94</v>
      </c>
      <c r="J10" s="41" t="n">
        <f aca="false">IF(I10="Win",F10+G10,IF(I10="Push",F10,IF(I10="Loss",0,0)))</f>
        <v>0</v>
      </c>
      <c r="K10" s="43" t="n">
        <f aca="false">IF(I10="Pending",0,J10-F10)</f>
        <v>-120</v>
      </c>
      <c r="L10" s="57" t="n">
        <v>0.08</v>
      </c>
      <c r="M10" s="61" t="s">
        <v>286</v>
      </c>
    </row>
    <row r="11" customFormat="false" ht="15" hidden="false" customHeight="true" outlineLevel="0" collapsed="false">
      <c r="A11" s="32" t="n">
        <v>5</v>
      </c>
      <c r="B11" s="5" t="s">
        <v>287</v>
      </c>
      <c r="C11" s="31" t="s">
        <v>283</v>
      </c>
      <c r="D11" s="32" t="s">
        <v>186</v>
      </c>
      <c r="E11" s="39" t="n">
        <v>1800</v>
      </c>
      <c r="F11" s="40" t="n">
        <v>100</v>
      </c>
      <c r="G11" s="41" t="n">
        <f aca="false">IF(E11&gt;0,F11*E11/100,F11*100/ABS(E11))</f>
        <v>1800</v>
      </c>
      <c r="H11" s="41" t="n">
        <f aca="false">F11+G11</f>
        <v>1900</v>
      </c>
      <c r="I11" s="56" t="s">
        <v>94</v>
      </c>
      <c r="J11" s="41" t="n">
        <f aca="false">IF(I11="Win",F11+G11,IF(I11="Push",F11,IF(I11="Loss",0,0)))</f>
        <v>0</v>
      </c>
      <c r="K11" s="43" t="n">
        <f aca="false">IF(I11="Pending",0,J11-F11)</f>
        <v>-100</v>
      </c>
      <c r="L11" s="57" t="n">
        <v>0.07</v>
      </c>
      <c r="M11" s="61" t="s">
        <v>288</v>
      </c>
    </row>
    <row r="12" customFormat="false" ht="15" hidden="false" customHeight="true" outlineLevel="0" collapsed="false">
      <c r="A12" s="32" t="n">
        <v>6</v>
      </c>
      <c r="B12" s="5" t="s">
        <v>289</v>
      </c>
      <c r="C12" s="31" t="s">
        <v>283</v>
      </c>
      <c r="D12" s="32" t="s">
        <v>186</v>
      </c>
      <c r="E12" s="39" t="n">
        <v>1150</v>
      </c>
      <c r="F12" s="40" t="n">
        <v>90</v>
      </c>
      <c r="G12" s="41" t="n">
        <f aca="false">IF(E12&gt;0,F12*E12/100,F12*100/ABS(E12))</f>
        <v>1035</v>
      </c>
      <c r="H12" s="41" t="n">
        <f aca="false">F12+G12</f>
        <v>1125</v>
      </c>
      <c r="I12" s="56" t="s">
        <v>94</v>
      </c>
      <c r="J12" s="41" t="n">
        <f aca="false">IF(I12="Win",F12+G12,IF(I12="Push",F12,IF(I12="Loss",0,0)))</f>
        <v>0</v>
      </c>
      <c r="K12" s="43" t="n">
        <f aca="false">IF(I12="Pending",0,J12-F12)</f>
        <v>-90</v>
      </c>
      <c r="L12" s="57" t="n">
        <v>0.08</v>
      </c>
      <c r="M12" s="61" t="s">
        <v>290</v>
      </c>
    </row>
    <row r="13" customFormat="false" ht="15" hidden="false" customHeight="true" outlineLevel="0" collapsed="false">
      <c r="A13" s="32" t="n">
        <v>7</v>
      </c>
      <c r="B13" s="5" t="s">
        <v>291</v>
      </c>
      <c r="C13" s="31" t="s">
        <v>283</v>
      </c>
      <c r="D13" s="32" t="s">
        <v>186</v>
      </c>
      <c r="E13" s="39" t="n">
        <v>1900</v>
      </c>
      <c r="F13" s="40" t="n">
        <v>40</v>
      </c>
      <c r="G13" s="41" t="n">
        <f aca="false">IF(E13&gt;0,F13*E13/100,F13*100/ABS(E13))</f>
        <v>760</v>
      </c>
      <c r="H13" s="41" t="n">
        <f aca="false">F13+G13</f>
        <v>800</v>
      </c>
      <c r="I13" s="56" t="s">
        <v>94</v>
      </c>
      <c r="J13" s="41" t="n">
        <f aca="false">IF(I13="Win",F13+G13,IF(I13="Push",F13,IF(I13="Loss",0,0)))</f>
        <v>0</v>
      </c>
      <c r="K13" s="43" t="n">
        <f aca="false">IF(I13="Pending",0,J13-F13)</f>
        <v>-40</v>
      </c>
      <c r="L13" s="57" t="n">
        <v>0.05</v>
      </c>
      <c r="M13" s="61" t="s">
        <v>292</v>
      </c>
    </row>
    <row r="14" customFormat="false" ht="15" hidden="false" customHeight="true" outlineLevel="0" collapsed="false">
      <c r="A14" s="62"/>
      <c r="B14" s="63" t="s">
        <v>37</v>
      </c>
      <c r="C14" s="62"/>
      <c r="D14" s="62"/>
      <c r="E14" s="62"/>
      <c r="F14" s="48" t="n">
        <f aca="false">SUM(F7:F13)</f>
        <v>1000</v>
      </c>
      <c r="G14" s="49" t="n">
        <f aca="false">SUM(G7:G13)</f>
        <v>8377.88672566372</v>
      </c>
      <c r="H14" s="49" t="n">
        <f aca="false">SUM(H7:H13)</f>
        <v>9377.88672566372</v>
      </c>
      <c r="I14" s="62"/>
      <c r="J14" s="49" t="n">
        <f aca="false">SUM(J7:J13)</f>
        <v>565.486725663717</v>
      </c>
      <c r="K14" s="50" t="n">
        <f aca="false">SUM(K7:K13)</f>
        <v>-434.513274336283</v>
      </c>
      <c r="L14" s="58" t="n">
        <f aca="false">SUM(L7:L13)</f>
        <v>1.2</v>
      </c>
      <c r="M14" s="62"/>
    </row>
    <row r="16" customFormat="false" ht="15" hidden="false" customHeight="true" outlineLevel="0" collapsed="false">
      <c r="B16" s="4" t="s">
        <v>115</v>
      </c>
    </row>
    <row r="17" customFormat="false" ht="15" hidden="false" customHeight="true" outlineLevel="0" collapsed="false">
      <c r="B17" s="5" t="s">
        <v>116</v>
      </c>
      <c r="C17" s="51" t="n">
        <f aca="false">COUNTIF(I7:I13,"Win")</f>
        <v>1</v>
      </c>
    </row>
    <row r="18" customFormat="false" ht="15" hidden="false" customHeight="true" outlineLevel="0" collapsed="false">
      <c r="B18" s="5" t="s">
        <v>117</v>
      </c>
      <c r="C18" s="51" t="n">
        <f aca="false">COUNTIF(I7:I13,"Loss")</f>
        <v>6</v>
      </c>
    </row>
    <row r="19" customFormat="false" ht="15" hidden="false" customHeight="true" outlineLevel="0" collapsed="false">
      <c r="B19" s="5" t="s">
        <v>118</v>
      </c>
      <c r="C19" s="51" t="n">
        <f aca="false">COUNTIF(I7:I13,"Push")</f>
        <v>0</v>
      </c>
    </row>
    <row r="20" customFormat="false" ht="15" hidden="false" customHeight="true" outlineLevel="0" collapsed="false">
      <c r="B20" s="5" t="s">
        <v>119</v>
      </c>
      <c r="C20" s="51" t="n">
        <f aca="false">COUNTIF(I7:I13,"Pending")</f>
        <v>0</v>
      </c>
    </row>
    <row r="21" customFormat="false" ht="15" hidden="false" customHeight="true" outlineLevel="0" collapsed="false">
      <c r="B21" s="5" t="s">
        <v>120</v>
      </c>
      <c r="C21" s="52" t="n">
        <f aca="false">IF(COUNTIF(I7:I13,"Win")+COUNTIF(I7:I13,"Loss")=0,"—",COUNTIF(I7:I13,"Win")/(COUNTIF(I7:I13,"Win")+COUNTIF(I7:I13,"Loss")))</f>
        <v>0.142857142857143</v>
      </c>
    </row>
    <row r="22" customFormat="false" ht="15" hidden="false" customHeight="true" outlineLevel="0" collapsed="false">
      <c r="B22" s="5" t="s">
        <v>121</v>
      </c>
      <c r="C22" s="33" t="n">
        <f aca="false">SUM(F7:F13)</f>
        <v>1000</v>
      </c>
    </row>
    <row r="23" customFormat="false" ht="15" hidden="false" customHeight="true" outlineLevel="0" collapsed="false">
      <c r="B23" s="5" t="s">
        <v>122</v>
      </c>
      <c r="C23" s="41" t="n">
        <f aca="false">SUM(J7:J13)</f>
        <v>565.486725663717</v>
      </c>
    </row>
    <row r="24" customFormat="false" ht="15" hidden="false" customHeight="true" outlineLevel="0" collapsed="false">
      <c r="B24" s="5" t="s">
        <v>123</v>
      </c>
      <c r="C24" s="43" t="n">
        <f aca="false">SUM(K7:K13)</f>
        <v>-434.513274336283</v>
      </c>
    </row>
    <row r="25" customFormat="false" ht="15" hidden="false" customHeight="true" outlineLevel="0" collapsed="false">
      <c r="B25" s="5" t="s">
        <v>124</v>
      </c>
      <c r="C25" s="52" t="n">
        <f aca="false">IF(SUM(F7:F13)=0,"—",SUM(K7:K13)/SUM(F7:F13))</f>
        <v>-0.434513274336283</v>
      </c>
    </row>
    <row r="26" customFormat="false" ht="15" hidden="false" customHeight="true" outlineLevel="0" collapsed="false">
      <c r="B26" s="5" t="s">
        <v>241</v>
      </c>
      <c r="C26" s="59" t="n">
        <f aca="false">SUM(L7:L13)</f>
        <v>1.2</v>
      </c>
    </row>
    <row r="27" customFormat="false" ht="15" hidden="false" customHeight="true" outlineLevel="0" collapsed="false">
      <c r="B27" s="5" t="s">
        <v>293</v>
      </c>
      <c r="C27" s="33" t="n">
        <f aca="false">2678</f>
        <v>2678</v>
      </c>
    </row>
    <row r="29" customFormat="false" ht="15" hidden="false" customHeight="true" outlineLevel="0" collapsed="false">
      <c r="A29" s="34" t="s">
        <v>294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35" t="s">
        <v>295</v>
      </c>
    </row>
    <row r="2" customFormat="false" ht="15" hidden="false" customHeight="true" outlineLevel="0" collapsed="false">
      <c r="A2" s="3" t="s">
        <v>296</v>
      </c>
    </row>
    <row r="4" customFormat="false" ht="24" hidden="false" customHeight="true" outlineLevel="0" collapsed="false">
      <c r="A4" s="12" t="s">
        <v>297</v>
      </c>
      <c r="B4" s="12" t="s">
        <v>298</v>
      </c>
      <c r="C4" s="12" t="s">
        <v>299</v>
      </c>
      <c r="D4" s="12" t="s">
        <v>300</v>
      </c>
      <c r="E4" s="12" t="s">
        <v>301</v>
      </c>
      <c r="F4" s="12" t="s">
        <v>302</v>
      </c>
      <c r="G4" s="12" t="s">
        <v>82</v>
      </c>
    </row>
    <row r="5" customFormat="false" ht="15" hidden="false" customHeight="true" outlineLevel="0" collapsed="false">
      <c r="A5" s="5" t="s">
        <v>303</v>
      </c>
      <c r="B5" s="64" t="s">
        <v>304</v>
      </c>
      <c r="C5" s="65"/>
      <c r="D5" s="65" t="s">
        <v>305</v>
      </c>
      <c r="E5" s="65" t="s">
        <v>305</v>
      </c>
      <c r="F5" s="65"/>
      <c r="G5" s="66" t="s">
        <v>306</v>
      </c>
    </row>
    <row r="6" customFormat="false" ht="15" hidden="false" customHeight="true" outlineLevel="0" collapsed="false">
      <c r="A6" s="5" t="s">
        <v>307</v>
      </c>
      <c r="B6" s="64" t="s">
        <v>308</v>
      </c>
      <c r="C6" s="65" t="s">
        <v>305</v>
      </c>
      <c r="D6" s="65"/>
      <c r="E6" s="65"/>
      <c r="F6" s="65"/>
      <c r="G6" s="66" t="s">
        <v>309</v>
      </c>
    </row>
    <row r="7" customFormat="false" ht="15" hidden="false" customHeight="true" outlineLevel="0" collapsed="false">
      <c r="A7" s="5" t="s">
        <v>310</v>
      </c>
      <c r="B7" s="64" t="s">
        <v>311</v>
      </c>
      <c r="C7" s="65" t="s">
        <v>305</v>
      </c>
      <c r="D7" s="65"/>
      <c r="E7" s="65"/>
      <c r="F7" s="65"/>
      <c r="G7" s="66" t="s">
        <v>312</v>
      </c>
    </row>
    <row r="8" customFormat="false" ht="15" hidden="false" customHeight="true" outlineLevel="0" collapsed="false">
      <c r="A8" s="5" t="s">
        <v>313</v>
      </c>
      <c r="B8" s="64" t="s">
        <v>314</v>
      </c>
      <c r="C8" s="65"/>
      <c r="D8" s="65" t="s">
        <v>305</v>
      </c>
      <c r="E8" s="65"/>
      <c r="F8" s="65"/>
      <c r="G8" s="66" t="s">
        <v>315</v>
      </c>
    </row>
    <row r="9" customFormat="false" ht="21.75" hidden="false" customHeight="true" outlineLevel="0" collapsed="false">
      <c r="A9" s="5" t="s">
        <v>316</v>
      </c>
      <c r="B9" s="64" t="s">
        <v>317</v>
      </c>
      <c r="C9" s="65"/>
      <c r="D9" s="65" t="s">
        <v>305</v>
      </c>
      <c r="E9" s="65"/>
      <c r="F9" s="65" t="s">
        <v>305</v>
      </c>
      <c r="G9" s="66" t="s">
        <v>318</v>
      </c>
    </row>
    <row r="10" customFormat="false" ht="15" hidden="false" customHeight="true" outlineLevel="0" collapsed="false">
      <c r="A10" s="5" t="s">
        <v>319</v>
      </c>
      <c r="B10" s="64" t="s">
        <v>320</v>
      </c>
      <c r="C10" s="65"/>
      <c r="D10" s="65" t="s">
        <v>305</v>
      </c>
      <c r="E10" s="65" t="s">
        <v>305</v>
      </c>
      <c r="F10" s="65"/>
      <c r="G10" s="66" t="s">
        <v>321</v>
      </c>
    </row>
    <row r="11" customFormat="false" ht="15" hidden="false" customHeight="true" outlineLevel="0" collapsed="false">
      <c r="A11" s="5" t="s">
        <v>322</v>
      </c>
      <c r="B11" s="64" t="s">
        <v>323</v>
      </c>
      <c r="C11" s="65"/>
      <c r="D11" s="65" t="s">
        <v>305</v>
      </c>
      <c r="E11" s="65"/>
      <c r="F11" s="65" t="s">
        <v>305</v>
      </c>
      <c r="G11" s="66" t="s">
        <v>324</v>
      </c>
    </row>
    <row r="12" customFormat="false" ht="15" hidden="false" customHeight="true" outlineLevel="0" collapsed="false">
      <c r="A12" s="5" t="s">
        <v>325</v>
      </c>
      <c r="B12" s="64" t="s">
        <v>326</v>
      </c>
      <c r="C12" s="65"/>
      <c r="D12" s="65" t="s">
        <v>305</v>
      </c>
      <c r="E12" s="65"/>
      <c r="F12" s="65"/>
      <c r="G12" s="66" t="s">
        <v>327</v>
      </c>
    </row>
    <row r="13" customFormat="false" ht="15" hidden="false" customHeight="true" outlineLevel="0" collapsed="false">
      <c r="A13" s="5" t="s">
        <v>328</v>
      </c>
      <c r="B13" s="64" t="s">
        <v>329</v>
      </c>
      <c r="C13" s="65"/>
      <c r="D13" s="65" t="s">
        <v>305</v>
      </c>
      <c r="E13" s="65"/>
      <c r="F13" s="65"/>
      <c r="G13" s="66" t="s">
        <v>330</v>
      </c>
    </row>
    <row r="14" customFormat="false" ht="15" hidden="false" customHeight="true" outlineLevel="0" collapsed="false">
      <c r="A14" s="5" t="s">
        <v>331</v>
      </c>
      <c r="B14" s="64" t="s">
        <v>332</v>
      </c>
      <c r="C14" s="65"/>
      <c r="D14" s="65" t="s">
        <v>305</v>
      </c>
      <c r="E14" s="65"/>
      <c r="F14" s="65"/>
      <c r="G14" s="66" t="s">
        <v>333</v>
      </c>
    </row>
    <row r="15" customFormat="false" ht="15" hidden="false" customHeight="true" outlineLevel="0" collapsed="false">
      <c r="A15" s="5" t="s">
        <v>334</v>
      </c>
      <c r="B15" s="64" t="s">
        <v>335</v>
      </c>
      <c r="C15" s="65"/>
      <c r="D15" s="65" t="s">
        <v>305</v>
      </c>
      <c r="E15" s="65"/>
      <c r="F15" s="65"/>
      <c r="G15" s="66" t="s">
        <v>336</v>
      </c>
    </row>
    <row r="16" customFormat="false" ht="15" hidden="false" customHeight="true" outlineLevel="0" collapsed="false">
      <c r="A16" s="5" t="s">
        <v>337</v>
      </c>
      <c r="B16" s="64" t="s">
        <v>338</v>
      </c>
      <c r="C16" s="65"/>
      <c r="D16" s="65"/>
      <c r="E16" s="65" t="s">
        <v>305</v>
      </c>
      <c r="F16" s="65" t="s">
        <v>305</v>
      </c>
      <c r="G16" s="66" t="s">
        <v>339</v>
      </c>
    </row>
    <row r="17" customFormat="false" ht="15" hidden="false" customHeight="true" outlineLevel="0" collapsed="false">
      <c r="A17" s="5" t="s">
        <v>340</v>
      </c>
      <c r="B17" s="64" t="s">
        <v>341</v>
      </c>
      <c r="C17" s="65"/>
      <c r="D17" s="65"/>
      <c r="E17" s="65" t="s">
        <v>305</v>
      </c>
      <c r="F17" s="65"/>
      <c r="G17" s="66" t="s">
        <v>342</v>
      </c>
    </row>
    <row r="18" customFormat="false" ht="15" hidden="false" customHeight="true" outlineLevel="0" collapsed="false">
      <c r="A18" s="5" t="s">
        <v>343</v>
      </c>
      <c r="B18" s="64" t="s">
        <v>344</v>
      </c>
      <c r="C18" s="65"/>
      <c r="D18" s="65"/>
      <c r="E18" s="65" t="s">
        <v>305</v>
      </c>
      <c r="F18" s="65"/>
      <c r="G18" s="66" t="s">
        <v>345</v>
      </c>
    </row>
    <row r="19" customFormat="false" ht="15" hidden="false" customHeight="true" outlineLevel="0" collapsed="false">
      <c r="A19" s="5" t="s">
        <v>346</v>
      </c>
      <c r="B19" s="64" t="s">
        <v>347</v>
      </c>
      <c r="C19" s="65"/>
      <c r="D19" s="65"/>
      <c r="E19" s="65"/>
      <c r="F19" s="65" t="s">
        <v>305</v>
      </c>
      <c r="G19" s="66" t="s">
        <v>348</v>
      </c>
    </row>
    <row r="20" customFormat="false" ht="15" hidden="false" customHeight="true" outlineLevel="0" collapsed="false">
      <c r="A20" s="67" t="s">
        <v>349</v>
      </c>
      <c r="B20" s="68" t="s">
        <v>350</v>
      </c>
      <c r="D20" s="69" t="s">
        <v>305</v>
      </c>
      <c r="F20" s="69" t="s">
        <v>305</v>
      </c>
      <c r="G20" s="34" t="s">
        <v>351</v>
      </c>
    </row>
    <row r="21" customFormat="false" ht="15" hidden="false" customHeight="true" outlineLevel="0" collapsed="false">
      <c r="A21" s="67" t="s">
        <v>352</v>
      </c>
      <c r="B21" s="68" t="s">
        <v>353</v>
      </c>
      <c r="G21" s="34" t="s">
        <v>354</v>
      </c>
    </row>
    <row r="22" customFormat="false" ht="15" hidden="false" customHeight="true" outlineLevel="0" collapsed="false">
      <c r="A22" s="67" t="s">
        <v>355</v>
      </c>
      <c r="B22" s="68" t="s">
        <v>356</v>
      </c>
      <c r="G22" s="34" t="s">
        <v>357</v>
      </c>
    </row>
    <row r="23" customFormat="false" ht="15" hidden="false" customHeight="true" outlineLevel="0" collapsed="false">
      <c r="A23" s="67" t="s">
        <v>358</v>
      </c>
      <c r="B23" s="68" t="s">
        <v>359</v>
      </c>
      <c r="G23" s="34" t="s">
        <v>360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70" t="s">
        <v>361</v>
      </c>
    </row>
    <row r="26" customFormat="false" ht="15" hidden="false" customHeight="true" outlineLevel="0" collapsed="false">
      <c r="A26" s="3" t="s">
        <v>362</v>
      </c>
    </row>
    <row r="27" customFormat="false" ht="15" hidden="false" customHeight="true" outlineLevel="0" collapsed="false">
      <c r="A27" s="3" t="s">
        <v>363</v>
      </c>
    </row>
    <row r="28" customFormat="false" ht="15" hidden="false" customHeight="true" outlineLevel="0" collapsed="false">
      <c r="A28" s="3" t="s">
        <v>364</v>
      </c>
    </row>
    <row r="29" customFormat="false" ht="15" hidden="false" customHeight="true" outlineLevel="0" collapsed="false">
      <c r="A29" s="71" t="s">
        <v>365</v>
      </c>
      <c r="B29" s="71" t="s">
        <v>366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5" t="s">
        <v>367</v>
      </c>
      <c r="H1" s="55" t="s">
        <v>368</v>
      </c>
    </row>
    <row r="2" customFormat="false" ht="15" hidden="false" customHeight="true" outlineLevel="0" collapsed="false">
      <c r="A2" s="3" t="s">
        <v>369</v>
      </c>
    </row>
    <row r="3" customFormat="false" ht="15" hidden="false" customHeight="true" outlineLevel="0" collapsed="false">
      <c r="A3" s="3" t="s">
        <v>370</v>
      </c>
    </row>
    <row r="5" customFormat="false" ht="15" hidden="false" customHeight="true" outlineLevel="0" collapsed="false">
      <c r="A5" s="4" t="s">
        <v>72</v>
      </c>
    </row>
    <row r="6" customFormat="false" ht="24" hidden="false" customHeight="true" outlineLevel="0" collapsed="false">
      <c r="A6" s="12" t="s">
        <v>12</v>
      </c>
      <c r="B6" s="12" t="s">
        <v>73</v>
      </c>
      <c r="C6" s="12" t="s">
        <v>215</v>
      </c>
      <c r="D6" s="12" t="s">
        <v>75</v>
      </c>
      <c r="E6" s="12" t="s">
        <v>76</v>
      </c>
      <c r="F6" s="12" t="s">
        <v>42</v>
      </c>
      <c r="G6" s="12" t="s">
        <v>77</v>
      </c>
      <c r="H6" s="12" t="s">
        <v>78</v>
      </c>
      <c r="I6" s="12" t="s">
        <v>79</v>
      </c>
      <c r="J6" s="12" t="s">
        <v>80</v>
      </c>
      <c r="K6" s="12" t="s">
        <v>81</v>
      </c>
      <c r="L6" s="12" t="s">
        <v>216</v>
      </c>
      <c r="M6" s="12" t="s">
        <v>82</v>
      </c>
    </row>
    <row r="7" customFormat="false" ht="15" hidden="false" customHeight="true" outlineLevel="0" collapsed="false">
      <c r="A7" s="32" t="n">
        <v>1</v>
      </c>
      <c r="B7" s="5" t="s">
        <v>371</v>
      </c>
      <c r="C7" s="31" t="s">
        <v>372</v>
      </c>
      <c r="D7" s="32" t="s">
        <v>373</v>
      </c>
      <c r="E7" s="39" t="n">
        <v>-115</v>
      </c>
      <c r="F7" s="40" t="n">
        <v>200</v>
      </c>
      <c r="G7" s="41" t="n">
        <f aca="false">IF(E7&gt;0,F7*E7/100,F7*100/ABS(E7))</f>
        <v>173.913043478261</v>
      </c>
      <c r="H7" s="41" t="n">
        <f aca="false">F7+G7</f>
        <v>373.913043478261</v>
      </c>
      <c r="I7" s="45" t="s">
        <v>94</v>
      </c>
      <c r="J7" s="41" t="n">
        <f aca="false">IF(I7="Win",F7+G7,IF(I7="Push",F7,IF(I7="Loss",0,0)))</f>
        <v>0</v>
      </c>
      <c r="K7" s="43" t="n">
        <f aca="false">IF(I7="Pending",0,J7-F7)</f>
        <v>-200</v>
      </c>
      <c r="L7" s="57" t="n">
        <v>0.56</v>
      </c>
      <c r="M7" s="61" t="s">
        <v>374</v>
      </c>
    </row>
    <row r="8" customFormat="false" ht="15" hidden="false" customHeight="true" outlineLevel="0" collapsed="false">
      <c r="A8" s="32" t="n">
        <v>2</v>
      </c>
      <c r="B8" s="5" t="s">
        <v>375</v>
      </c>
      <c r="C8" s="31" t="s">
        <v>376</v>
      </c>
      <c r="D8" s="32" t="s">
        <v>175</v>
      </c>
      <c r="E8" s="39" t="n">
        <v>-112</v>
      </c>
      <c r="F8" s="40" t="n">
        <v>150</v>
      </c>
      <c r="G8" s="41" t="n">
        <f aca="false">IF(E8&gt;0,F8*E8/100,F8*100/ABS(E8))</f>
        <v>133.928571428571</v>
      </c>
      <c r="H8" s="41" t="n">
        <f aca="false">F8+G8</f>
        <v>283.928571428571</v>
      </c>
      <c r="I8" s="45" t="s">
        <v>94</v>
      </c>
      <c r="J8" s="41" t="n">
        <f aca="false">IF(I8="Win",F8+G8,IF(I8="Push",F8,IF(I8="Loss",0,0)))</f>
        <v>0</v>
      </c>
      <c r="K8" s="43" t="n">
        <f aca="false">IF(I8="Pending",0,J8-F8)</f>
        <v>-150</v>
      </c>
      <c r="L8" s="57" t="n">
        <v>0.56</v>
      </c>
      <c r="M8" s="61" t="s">
        <v>377</v>
      </c>
    </row>
    <row r="9" customFormat="false" ht="15" hidden="false" customHeight="true" outlineLevel="0" collapsed="false">
      <c r="A9" s="32" t="n">
        <v>3</v>
      </c>
      <c r="B9" s="5" t="s">
        <v>378</v>
      </c>
      <c r="C9" s="31" t="s">
        <v>379</v>
      </c>
      <c r="D9" s="32" t="s">
        <v>90</v>
      </c>
      <c r="E9" s="39" t="n">
        <v>-159</v>
      </c>
      <c r="F9" s="40" t="n">
        <v>150</v>
      </c>
      <c r="G9" s="41" t="n">
        <f aca="false">IF(E9&gt;0,F9*E9/100,F9*100/ABS(E9))</f>
        <v>94.3396226415094</v>
      </c>
      <c r="H9" s="41" t="n">
        <f aca="false">F9+G9</f>
        <v>244.339622641509</v>
      </c>
      <c r="I9" s="42" t="s">
        <v>86</v>
      </c>
      <c r="J9" s="41" t="n">
        <f aca="false">IF(I9="Win",F9+G9,IF(I9="Push",F9,IF(I9="Loss",0,0)))</f>
        <v>244.339622641509</v>
      </c>
      <c r="K9" s="43" t="n">
        <f aca="false">IF(I9="Pending",0,J9-F9)</f>
        <v>94.3396226415094</v>
      </c>
      <c r="L9" s="57" t="n">
        <v>0.65</v>
      </c>
      <c r="M9" s="61" t="s">
        <v>380</v>
      </c>
    </row>
    <row r="10" customFormat="false" ht="15" hidden="false" customHeight="true" outlineLevel="0" collapsed="false">
      <c r="A10" s="32" t="n">
        <v>4</v>
      </c>
      <c r="B10" s="5" t="s">
        <v>381</v>
      </c>
      <c r="C10" s="31" t="s">
        <v>382</v>
      </c>
      <c r="D10" s="32" t="s">
        <v>373</v>
      </c>
      <c r="E10" s="39" t="n">
        <v>-108</v>
      </c>
      <c r="F10" s="40" t="n">
        <v>150</v>
      </c>
      <c r="G10" s="41" t="n">
        <f aca="false">IF(E10&gt;0,F10*E10/100,F10*100/ABS(E10))</f>
        <v>138.888888888889</v>
      </c>
      <c r="H10" s="41" t="n">
        <f aca="false">F10+G10</f>
        <v>288.888888888889</v>
      </c>
      <c r="I10" s="56" t="s">
        <v>94</v>
      </c>
      <c r="J10" s="41" t="n">
        <f aca="false">IF(I10="Win",F10+G10,IF(I10="Push",F10,IF(I10="Loss",0,0)))</f>
        <v>0</v>
      </c>
      <c r="K10" s="43" t="n">
        <f aca="false">IF(I10="Pending",0,J10-F10)</f>
        <v>-150</v>
      </c>
      <c r="L10" s="57" t="n">
        <v>0.55</v>
      </c>
      <c r="M10" s="61" t="s">
        <v>383</v>
      </c>
    </row>
    <row r="11" customFormat="false" ht="15" hidden="false" customHeight="true" outlineLevel="0" collapsed="false">
      <c r="A11" s="32" t="n">
        <v>5</v>
      </c>
      <c r="B11" s="5" t="s">
        <v>384</v>
      </c>
      <c r="C11" s="31" t="s">
        <v>385</v>
      </c>
      <c r="D11" s="32" t="s">
        <v>90</v>
      </c>
      <c r="E11" s="39" t="n">
        <v>-120</v>
      </c>
      <c r="F11" s="40" t="n">
        <v>130</v>
      </c>
      <c r="G11" s="41" t="n">
        <f aca="false">IF(E11&gt;0,F11*E11/100,F11*100/ABS(E11))</f>
        <v>108.333333333333</v>
      </c>
      <c r="H11" s="41" t="n">
        <f aca="false">F11+G11</f>
        <v>238.333333333333</v>
      </c>
      <c r="I11" s="56" t="s">
        <v>86</v>
      </c>
      <c r="J11" s="41" t="n">
        <f aca="false">IF(I11="Win",F11+G11,IF(I11="Push",F11,IF(I11="Loss",0,0)))</f>
        <v>238.333333333333</v>
      </c>
      <c r="K11" s="43" t="n">
        <f aca="false">IF(I11="Pending",0,J11-F11)</f>
        <v>108.333333333333</v>
      </c>
      <c r="L11" s="57" t="n">
        <v>0.6</v>
      </c>
      <c r="M11" s="61" t="s">
        <v>386</v>
      </c>
    </row>
    <row r="12" customFormat="false" ht="15" hidden="false" customHeight="true" outlineLevel="0" collapsed="false">
      <c r="A12" s="32" t="n">
        <v>6</v>
      </c>
      <c r="B12" s="5" t="s">
        <v>387</v>
      </c>
      <c r="C12" s="31" t="s">
        <v>388</v>
      </c>
      <c r="D12" s="32" t="s">
        <v>90</v>
      </c>
      <c r="E12" s="39" t="n">
        <v>-121</v>
      </c>
      <c r="F12" s="40" t="n">
        <v>120</v>
      </c>
      <c r="G12" s="41" t="n">
        <f aca="false">IF(E12&gt;0,F12*E12/100,F12*100/ABS(E12))</f>
        <v>99.1735537190083</v>
      </c>
      <c r="H12" s="41" t="n">
        <f aca="false">F12+G12</f>
        <v>219.173553719008</v>
      </c>
      <c r="I12" s="56" t="s">
        <v>86</v>
      </c>
      <c r="J12" s="41" t="n">
        <f aca="false">IF(I12="Win",F12+G12,IF(I12="Push",F12,IF(I12="Loss",0,0)))</f>
        <v>219.173553719008</v>
      </c>
      <c r="K12" s="43" t="n">
        <f aca="false">IF(I12="Pending",0,J12-F12)</f>
        <v>99.1735537190083</v>
      </c>
      <c r="L12" s="57" t="n">
        <v>0.58</v>
      </c>
      <c r="M12" s="61" t="s">
        <v>389</v>
      </c>
    </row>
    <row r="13" customFormat="false" ht="15" hidden="false" customHeight="true" outlineLevel="0" collapsed="false">
      <c r="A13" s="32" t="n">
        <v>7</v>
      </c>
      <c r="B13" s="5" t="s">
        <v>390</v>
      </c>
      <c r="C13" s="31" t="s">
        <v>391</v>
      </c>
      <c r="D13" s="32" t="s">
        <v>113</v>
      </c>
      <c r="E13" s="39" t="n">
        <v>971</v>
      </c>
      <c r="F13" s="40" t="n">
        <v>100</v>
      </c>
      <c r="G13" s="41" t="n">
        <f aca="false">IF(E13&gt;0,F13*E13/100,F13*100/ABS(E13))</f>
        <v>971</v>
      </c>
      <c r="H13" s="41" t="n">
        <f aca="false">F13+G13</f>
        <v>1071</v>
      </c>
      <c r="I13" s="45" t="s">
        <v>94</v>
      </c>
      <c r="J13" s="41" t="n">
        <f aca="false">IF(I13="Win",F13+G13,IF(I13="Push",F13,IF(I13="Loss",0,0)))</f>
        <v>0</v>
      </c>
      <c r="K13" s="43" t="n">
        <f aca="false">IF(I13="Pending",0,J13-F13)</f>
        <v>-100</v>
      </c>
      <c r="L13" s="57" t="n">
        <v>0.12</v>
      </c>
      <c r="M13" s="61" t="s">
        <v>392</v>
      </c>
    </row>
    <row r="14" customFormat="false" ht="15" hidden="false" customHeight="true" outlineLevel="0" collapsed="false">
      <c r="A14" s="62"/>
      <c r="B14" s="63" t="s">
        <v>37</v>
      </c>
      <c r="C14" s="62"/>
      <c r="D14" s="62"/>
      <c r="E14" s="62"/>
      <c r="F14" s="48" t="n">
        <f aca="false">SUM(F7:F13)</f>
        <v>1000</v>
      </c>
      <c r="G14" s="49" t="n">
        <f aca="false">SUM(G7:G13)</f>
        <v>1719.57701348957</v>
      </c>
      <c r="H14" s="49" t="n">
        <f aca="false">SUM(H7:H13)</f>
        <v>2719.57701348957</v>
      </c>
      <c r="I14" s="62"/>
      <c r="J14" s="49" t="n">
        <f aca="false">SUM(J7:J13)</f>
        <v>701.846509693851</v>
      </c>
      <c r="K14" s="50" t="n">
        <f aca="false">SUM(K7:K13)</f>
        <v>-298.153490306149</v>
      </c>
      <c r="L14" s="58" t="n">
        <f aca="false">SUM(L7:L13)</f>
        <v>3.62</v>
      </c>
      <c r="M14" s="62"/>
    </row>
    <row r="16" customFormat="false" ht="15" hidden="false" customHeight="true" outlineLevel="0" collapsed="false">
      <c r="B16" s="4" t="s">
        <v>115</v>
      </c>
    </row>
    <row r="17" customFormat="false" ht="15" hidden="false" customHeight="true" outlineLevel="0" collapsed="false">
      <c r="B17" s="5" t="s">
        <v>116</v>
      </c>
      <c r="C17" s="51" t="n">
        <f aca="false">COUNTIF(I7:I13,"Win")</f>
        <v>3</v>
      </c>
    </row>
    <row r="18" customFormat="false" ht="15" hidden="false" customHeight="true" outlineLevel="0" collapsed="false">
      <c r="B18" s="5" t="s">
        <v>117</v>
      </c>
      <c r="C18" s="51" t="n">
        <f aca="false">COUNTIF(I7:I13,"Loss")</f>
        <v>4</v>
      </c>
    </row>
    <row r="19" customFormat="false" ht="15" hidden="false" customHeight="true" outlineLevel="0" collapsed="false">
      <c r="B19" s="5" t="s">
        <v>118</v>
      </c>
      <c r="C19" s="51" t="n">
        <f aca="false">COUNTIF(I7:I13,"Push")</f>
        <v>0</v>
      </c>
    </row>
    <row r="20" customFormat="false" ht="15" hidden="false" customHeight="true" outlineLevel="0" collapsed="false">
      <c r="B20" s="5" t="s">
        <v>119</v>
      </c>
      <c r="C20" s="51" t="n">
        <f aca="false">COUNTIF(I7:I13,"Pending")</f>
        <v>0</v>
      </c>
    </row>
    <row r="21" customFormat="false" ht="15" hidden="false" customHeight="true" outlineLevel="0" collapsed="false">
      <c r="B21" s="5" t="s">
        <v>120</v>
      </c>
      <c r="C21" s="52" t="n">
        <f aca="false">IF(COUNTIF(I7:I13,"Win")+COUNTIF(I7:I13,"Loss")=0,"—",COUNTIF(I7:I13,"Win")/(COUNTIF(I7:I13,"Win")+COUNTIF(I7:I13,"Loss")))</f>
        <v>0.428571428571429</v>
      </c>
    </row>
    <row r="22" customFormat="false" ht="15" hidden="false" customHeight="true" outlineLevel="0" collapsed="false">
      <c r="B22" s="5" t="s">
        <v>121</v>
      </c>
      <c r="C22" s="33" t="n">
        <f aca="false">SUM(F7:F13)</f>
        <v>1000</v>
      </c>
    </row>
    <row r="23" customFormat="false" ht="15" hidden="false" customHeight="true" outlineLevel="0" collapsed="false">
      <c r="B23" s="5" t="s">
        <v>122</v>
      </c>
      <c r="C23" s="41" t="n">
        <f aca="false">SUM(J7:J13)</f>
        <v>701.846509693851</v>
      </c>
    </row>
    <row r="24" customFormat="false" ht="15" hidden="false" customHeight="true" outlineLevel="0" collapsed="false">
      <c r="B24" s="5" t="s">
        <v>123</v>
      </c>
      <c r="C24" s="43" t="n">
        <f aca="false">SUM(K7:K13)</f>
        <v>-298.153490306149</v>
      </c>
    </row>
    <row r="25" customFormat="false" ht="15" hidden="false" customHeight="true" outlineLevel="0" collapsed="false">
      <c r="B25" s="5" t="s">
        <v>124</v>
      </c>
      <c r="C25" s="52" t="n">
        <f aca="false">IF(SUM(F7:F13)=0,"—",SUM(K7:K13)/SUM(F7:F13))</f>
        <v>-0.298153490306149</v>
      </c>
    </row>
    <row r="26" customFormat="false" ht="15" hidden="false" customHeight="true" outlineLevel="0" collapsed="false">
      <c r="B26" s="5" t="s">
        <v>125</v>
      </c>
      <c r="C26" s="41" t="n">
        <f aca="false">SUM(H7:H13)</f>
        <v>2719.57701348957</v>
      </c>
    </row>
    <row r="27" customFormat="false" ht="15" hidden="false" customHeight="true" outlineLevel="0" collapsed="false">
      <c r="B27" s="5" t="s">
        <v>241</v>
      </c>
      <c r="C27" s="59" t="n">
        <f aca="false">SUM(L7:L13)</f>
        <v>3.62</v>
      </c>
    </row>
    <row r="28" customFormat="false" ht="15" hidden="false" customHeight="true" outlineLevel="0" collapsed="false">
      <c r="B28" s="5" t="s">
        <v>242</v>
      </c>
      <c r="C28" s="43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34" t="s">
        <v>393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5" t="s">
        <v>394</v>
      </c>
      <c r="H1" s="55" t="s">
        <v>395</v>
      </c>
    </row>
    <row r="2" customFormat="false" ht="15" hidden="false" customHeight="true" outlineLevel="0" collapsed="false">
      <c r="A2" s="3" t="s">
        <v>396</v>
      </c>
    </row>
    <row r="3" customFormat="false" ht="15" hidden="false" customHeight="true" outlineLevel="0" collapsed="false">
      <c r="A3" s="3" t="s">
        <v>397</v>
      </c>
    </row>
    <row r="5" customFormat="false" ht="15" hidden="false" customHeight="true" outlineLevel="0" collapsed="false">
      <c r="A5" s="4" t="s">
        <v>72</v>
      </c>
    </row>
    <row r="6" customFormat="false" ht="24" hidden="false" customHeight="true" outlineLevel="0" collapsed="false">
      <c r="A6" s="12" t="s">
        <v>12</v>
      </c>
      <c r="B6" s="12" t="s">
        <v>73</v>
      </c>
      <c r="C6" s="12" t="s">
        <v>196</v>
      </c>
      <c r="D6" s="12" t="s">
        <v>75</v>
      </c>
      <c r="E6" s="12" t="s">
        <v>76</v>
      </c>
      <c r="F6" s="12" t="s">
        <v>42</v>
      </c>
      <c r="G6" s="12" t="s">
        <v>77</v>
      </c>
      <c r="H6" s="12" t="s">
        <v>78</v>
      </c>
      <c r="I6" s="12" t="s">
        <v>79</v>
      </c>
      <c r="J6" s="12" t="s">
        <v>80</v>
      </c>
      <c r="K6" s="12" t="s">
        <v>81</v>
      </c>
      <c r="L6" s="12" t="s">
        <v>216</v>
      </c>
      <c r="M6" s="12" t="s">
        <v>82</v>
      </c>
    </row>
    <row r="7" customFormat="false" ht="15" hidden="false" customHeight="true" outlineLevel="0" collapsed="false">
      <c r="A7" s="32" t="n">
        <v>1</v>
      </c>
      <c r="B7" s="5" t="s">
        <v>398</v>
      </c>
      <c r="C7" s="31" t="s">
        <v>283</v>
      </c>
      <c r="D7" s="32" t="s">
        <v>186</v>
      </c>
      <c r="E7" s="39" t="n">
        <v>450</v>
      </c>
      <c r="F7" s="40" t="n">
        <v>200</v>
      </c>
      <c r="G7" s="41" t="n">
        <f aca="false">IF(E7&gt;0,F7*E7/100,F7*100/ABS(E7))</f>
        <v>900</v>
      </c>
      <c r="H7" s="41" t="n">
        <f aca="false">F7+G7</f>
        <v>1100</v>
      </c>
      <c r="I7" s="56" t="s">
        <v>119</v>
      </c>
      <c r="J7" s="41" t="n">
        <f aca="false">IF(I7="Win",F7+G7,IF(I7="Push",F7,IF(I7="Loss",0,0)))</f>
        <v>0</v>
      </c>
      <c r="K7" s="43" t="n">
        <f aca="false">IF(I7="Pending",0,J7-F7)</f>
        <v>0</v>
      </c>
      <c r="L7" s="72" t="n">
        <v>0.18</v>
      </c>
      <c r="M7" s="61" t="s">
        <v>399</v>
      </c>
    </row>
    <row r="8" customFormat="false" ht="15" hidden="false" customHeight="true" outlineLevel="0" collapsed="false">
      <c r="A8" s="32" t="n">
        <v>2</v>
      </c>
      <c r="B8" s="5" t="s">
        <v>400</v>
      </c>
      <c r="C8" s="31" t="s">
        <v>283</v>
      </c>
      <c r="D8" s="32" t="s">
        <v>186</v>
      </c>
      <c r="E8" s="39" t="n">
        <v>1600</v>
      </c>
      <c r="F8" s="40" t="n">
        <v>100</v>
      </c>
      <c r="G8" s="41" t="n">
        <f aca="false">IF(E8&gt;0,F8*E8/100,F8*100/ABS(E8))</f>
        <v>1600</v>
      </c>
      <c r="H8" s="41" t="n">
        <f aca="false">F8+G8</f>
        <v>1700</v>
      </c>
      <c r="I8" s="56" t="s">
        <v>119</v>
      </c>
      <c r="J8" s="41" t="n">
        <f aca="false">IF(I8="Win",F8+G8,IF(I8="Push",F8,IF(I8="Loss",0,0)))</f>
        <v>0</v>
      </c>
      <c r="K8" s="43" t="n">
        <f aca="false">IF(I8="Pending",0,J8-F8)</f>
        <v>0</v>
      </c>
      <c r="L8" s="72" t="n">
        <v>0.07</v>
      </c>
      <c r="M8" s="61" t="s">
        <v>401</v>
      </c>
    </row>
    <row r="9" customFormat="false" ht="15" hidden="false" customHeight="true" outlineLevel="0" collapsed="false">
      <c r="A9" s="32" t="n">
        <v>3</v>
      </c>
      <c r="B9" s="5" t="s">
        <v>402</v>
      </c>
      <c r="C9" s="31" t="s">
        <v>283</v>
      </c>
      <c r="D9" s="32" t="s">
        <v>186</v>
      </c>
      <c r="E9" s="39" t="n">
        <v>1600</v>
      </c>
      <c r="F9" s="40" t="n">
        <v>100</v>
      </c>
      <c r="G9" s="41" t="n">
        <f aca="false">IF(E9&gt;0,F9*E9/100,F9*100/ABS(E9))</f>
        <v>1600</v>
      </c>
      <c r="H9" s="41" t="n">
        <f aca="false">F9+G9</f>
        <v>1700</v>
      </c>
      <c r="I9" s="56" t="s">
        <v>119</v>
      </c>
      <c r="J9" s="41" t="n">
        <f aca="false">IF(I9="Win",F9+G9,IF(I9="Push",F9,IF(I9="Loss",0,0)))</f>
        <v>0</v>
      </c>
      <c r="K9" s="43" t="n">
        <f aca="false">IF(I9="Pending",0,J9-F9)</f>
        <v>0</v>
      </c>
      <c r="L9" s="72" t="n">
        <v>0.07</v>
      </c>
      <c r="M9" s="61" t="s">
        <v>403</v>
      </c>
    </row>
    <row r="10" customFormat="false" ht="15" hidden="false" customHeight="true" outlineLevel="0" collapsed="false">
      <c r="A10" s="32" t="n">
        <v>4</v>
      </c>
      <c r="B10" s="5" t="s">
        <v>404</v>
      </c>
      <c r="C10" s="31" t="s">
        <v>283</v>
      </c>
      <c r="D10" s="32" t="s">
        <v>186</v>
      </c>
      <c r="E10" s="39" t="n">
        <v>2000</v>
      </c>
      <c r="F10" s="40" t="n">
        <v>80</v>
      </c>
      <c r="G10" s="41" t="n">
        <f aca="false">IF(E10&gt;0,F10*E10/100,F10*100/ABS(E10))</f>
        <v>1600</v>
      </c>
      <c r="H10" s="41" t="n">
        <f aca="false">F10+G10</f>
        <v>1680</v>
      </c>
      <c r="I10" s="56" t="s">
        <v>119</v>
      </c>
      <c r="J10" s="41" t="n">
        <f aca="false">IF(I10="Win",F10+G10,IF(I10="Push",F10,IF(I10="Loss",0,0)))</f>
        <v>0</v>
      </c>
      <c r="K10" s="43" t="n">
        <f aca="false">IF(I10="Pending",0,J10-F10)</f>
        <v>0</v>
      </c>
      <c r="L10" s="72" t="n">
        <v>0.055</v>
      </c>
      <c r="M10" s="61" t="s">
        <v>405</v>
      </c>
    </row>
    <row r="11" customFormat="false" ht="15" hidden="false" customHeight="true" outlineLevel="0" collapsed="false">
      <c r="A11" s="32" t="n">
        <v>5</v>
      </c>
      <c r="B11" s="5" t="s">
        <v>406</v>
      </c>
      <c r="C11" s="31" t="s">
        <v>283</v>
      </c>
      <c r="D11" s="32" t="s">
        <v>186</v>
      </c>
      <c r="E11" s="39" t="n">
        <v>2800</v>
      </c>
      <c r="F11" s="40" t="n">
        <v>70</v>
      </c>
      <c r="G11" s="41" t="n">
        <f aca="false">IF(E11&gt;0,F11*E11/100,F11*100/ABS(E11))</f>
        <v>1960</v>
      </c>
      <c r="H11" s="41" t="n">
        <f aca="false">F11+G11</f>
        <v>2030</v>
      </c>
      <c r="I11" s="56" t="s">
        <v>119</v>
      </c>
      <c r="J11" s="41" t="n">
        <f aca="false">IF(I11="Win",F11+G11,IF(I11="Push",F11,IF(I11="Loss",0,0)))</f>
        <v>0</v>
      </c>
      <c r="K11" s="43" t="n">
        <f aca="false">IF(I11="Pending",0,J11-F11)</f>
        <v>0</v>
      </c>
      <c r="L11" s="72" t="n">
        <v>0.045</v>
      </c>
      <c r="M11" s="61" t="s">
        <v>407</v>
      </c>
    </row>
    <row r="12" customFormat="false" ht="15" hidden="false" customHeight="true" outlineLevel="0" collapsed="false">
      <c r="A12" s="32" t="n">
        <v>6</v>
      </c>
      <c r="B12" s="5" t="s">
        <v>408</v>
      </c>
      <c r="C12" s="31" t="s">
        <v>283</v>
      </c>
      <c r="D12" s="32" t="s">
        <v>186</v>
      </c>
      <c r="E12" s="39" t="n">
        <v>5000</v>
      </c>
      <c r="F12" s="40" t="n">
        <v>50</v>
      </c>
      <c r="G12" s="41" t="n">
        <f aca="false">IF(E12&gt;0,F12*E12/100,F12*100/ABS(E12))</f>
        <v>2500</v>
      </c>
      <c r="H12" s="41" t="n">
        <f aca="false">F12+G12</f>
        <v>2550</v>
      </c>
      <c r="I12" s="56" t="s">
        <v>119</v>
      </c>
      <c r="J12" s="41" t="n">
        <f aca="false">IF(I12="Win",F12+G12,IF(I12="Push",F12,IF(I12="Loss",0,0)))</f>
        <v>0</v>
      </c>
      <c r="K12" s="43" t="n">
        <f aca="false">IF(I12="Pending",0,J12-F12)</f>
        <v>0</v>
      </c>
      <c r="L12" s="72" t="n">
        <v>0.025</v>
      </c>
      <c r="M12" s="61" t="s">
        <v>409</v>
      </c>
    </row>
    <row r="13" customFormat="false" ht="15" hidden="false" customHeight="true" outlineLevel="0" collapsed="false">
      <c r="A13" s="73" t="n">
        <v>7</v>
      </c>
      <c r="B13" s="21" t="s">
        <v>410</v>
      </c>
      <c r="C13" s="73" t="s">
        <v>411</v>
      </c>
      <c r="D13" s="73" t="s">
        <v>61</v>
      </c>
      <c r="E13" s="73"/>
      <c r="F13" s="73"/>
      <c r="G13" s="73"/>
      <c r="H13" s="73"/>
      <c r="I13" s="73"/>
      <c r="J13" s="73"/>
      <c r="K13" s="73"/>
      <c r="L13" s="73"/>
      <c r="M13" s="73" t="s">
        <v>412</v>
      </c>
    </row>
    <row r="14" customFormat="false" ht="15" hidden="false" customHeight="true" outlineLevel="0" collapsed="false">
      <c r="A14" s="62"/>
      <c r="B14" s="63" t="s">
        <v>413</v>
      </c>
      <c r="C14" s="62"/>
      <c r="D14" s="62"/>
      <c r="E14" s="62"/>
      <c r="F14" s="48" t="n">
        <f aca="false">SUM(F7:F13)</f>
        <v>600</v>
      </c>
      <c r="G14" s="49" t="n">
        <f aca="false">SUM(G7:G12)</f>
        <v>10160</v>
      </c>
      <c r="H14" s="49" t="n">
        <f aca="false">SUM(H7:H12)</f>
        <v>10760</v>
      </c>
      <c r="I14" s="62"/>
      <c r="J14" s="49" t="n">
        <f aca="false">SUM(J7:J12)</f>
        <v>0</v>
      </c>
      <c r="K14" s="50" t="n">
        <f aca="false">SUM(K7:K12)</f>
        <v>0</v>
      </c>
      <c r="L14" s="74" t="n">
        <f aca="false">SUM(L7:L12)</f>
        <v>0.445</v>
      </c>
      <c r="M14" s="62"/>
    </row>
    <row r="16" customFormat="false" ht="15" hidden="false" customHeight="true" outlineLevel="0" collapsed="false">
      <c r="B16" s="4" t="s">
        <v>115</v>
      </c>
    </row>
    <row r="17" customFormat="false" ht="15" hidden="false" customHeight="true" outlineLevel="0" collapsed="false">
      <c r="B17" s="5" t="s">
        <v>116</v>
      </c>
      <c r="C17" s="51" t="n">
        <f aca="false">COUNTIF(I7:I12,"Win")</f>
        <v>0</v>
      </c>
    </row>
    <row r="18" customFormat="false" ht="15" hidden="false" customHeight="true" outlineLevel="0" collapsed="false">
      <c r="B18" s="5" t="s">
        <v>117</v>
      </c>
      <c r="C18" s="51" t="n">
        <f aca="false">COUNTIF(I7:I12,"Loss")</f>
        <v>0</v>
      </c>
    </row>
    <row r="19" customFormat="false" ht="15" hidden="false" customHeight="true" outlineLevel="0" collapsed="false">
      <c r="B19" s="5" t="s">
        <v>119</v>
      </c>
      <c r="C19" s="51" t="n">
        <f aca="false">COUNTIF(I7:I12,"Pending")</f>
        <v>6</v>
      </c>
    </row>
    <row r="20" customFormat="false" ht="15" hidden="false" customHeight="true" outlineLevel="0" collapsed="false">
      <c r="B20" s="5" t="s">
        <v>120</v>
      </c>
      <c r="C20" s="52" t="str">
        <f aca="false">IF(COUNTIF(I7:I12,"Win")+COUNTIF(I7:I12,"Loss")=0,"—",COUNTIF(I7:I12,"Win")/(COUNTIF(I7:I12,"Win")+COUNTIF(I7:I12,"Loss")))</f>
        <v>—</v>
      </c>
    </row>
    <row r="21" customFormat="false" ht="15" hidden="false" customHeight="true" outlineLevel="0" collapsed="false">
      <c r="B21" s="5" t="s">
        <v>414</v>
      </c>
      <c r="C21" s="33" t="n">
        <f aca="false">SUM(F7:F12)</f>
        <v>600</v>
      </c>
    </row>
    <row r="22" customFormat="false" ht="15" hidden="false" customHeight="true" outlineLevel="0" collapsed="false">
      <c r="B22" s="5" t="s">
        <v>122</v>
      </c>
      <c r="C22" s="41" t="n">
        <f aca="false">SUM(J7:J12)</f>
        <v>0</v>
      </c>
    </row>
    <row r="23" customFormat="false" ht="15" hidden="false" customHeight="true" outlineLevel="0" collapsed="false">
      <c r="B23" s="5" t="s">
        <v>123</v>
      </c>
      <c r="C23" s="43" t="n">
        <f aca="false">SUM(K7:K12)</f>
        <v>0</v>
      </c>
    </row>
    <row r="24" customFormat="false" ht="15" hidden="false" customHeight="true" outlineLevel="0" collapsed="false">
      <c r="B24" s="5" t="s">
        <v>415</v>
      </c>
      <c r="C24" s="52" t="n">
        <f aca="false">SUM(L7:L12)</f>
        <v>0.445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3">
    <cfRule type="expression" priority="4" aboveAverage="0" equalAverage="0" bottom="0" percent="0" rank="0" text="" dxfId="0">
      <formula>AND(ISNUMBER(C23),C23&gt;0)</formula>
    </cfRule>
    <cfRule type="expression" priority="5" aboveAverage="0" equalAverage="0" bottom="0" percent="0" rank="0" text="" dxfId="1">
      <formula>AND(ISNUMBER(C23),C23&lt;0)</formula>
    </cfRule>
  </conditionalFormatting>
  <dataValidations count="1">
    <dataValidation allowBlank="false" errorStyle="stop" operator="between" showDropDown="false" showErrorMessage="false" showInputMessage="false" sqref="I7:I12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1828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5" t="s">
        <v>416</v>
      </c>
      <c r="H1" s="75" t="s">
        <v>417</v>
      </c>
    </row>
    <row r="2" customFormat="false" ht="15" hidden="false" customHeight="true" outlineLevel="0" collapsed="false">
      <c r="A2" s="3" t="s">
        <v>418</v>
      </c>
    </row>
    <row r="3" customFormat="false" ht="15" hidden="false" customHeight="true" outlineLevel="0" collapsed="false">
      <c r="A3" s="3" t="s">
        <v>419</v>
      </c>
    </row>
    <row r="5" customFormat="false" ht="15" hidden="false" customHeight="true" outlineLevel="0" collapsed="false">
      <c r="A5" s="4" t="s">
        <v>72</v>
      </c>
    </row>
    <row r="6" customFormat="false" ht="23.25" hidden="false" customHeight="true" outlineLevel="0" collapsed="false">
      <c r="A6" s="12" t="s">
        <v>12</v>
      </c>
      <c r="B6" s="12" t="s">
        <v>73</v>
      </c>
      <c r="C6" s="12" t="s">
        <v>196</v>
      </c>
      <c r="D6" s="12" t="s">
        <v>75</v>
      </c>
      <c r="E6" s="12" t="s">
        <v>76</v>
      </c>
      <c r="F6" s="12" t="s">
        <v>42</v>
      </c>
      <c r="G6" s="12" t="s">
        <v>77</v>
      </c>
      <c r="H6" s="12" t="s">
        <v>78</v>
      </c>
      <c r="I6" s="12" t="s">
        <v>79</v>
      </c>
      <c r="J6" s="12" t="s">
        <v>80</v>
      </c>
      <c r="K6" s="12" t="s">
        <v>81</v>
      </c>
      <c r="L6" s="12" t="s">
        <v>216</v>
      </c>
      <c r="M6" s="12" t="s">
        <v>82</v>
      </c>
    </row>
    <row r="7" customFormat="false" ht="15" hidden="false" customHeight="true" outlineLevel="0" collapsed="false">
      <c r="A7" s="32" t="n">
        <v>1</v>
      </c>
      <c r="B7" s="5" t="s">
        <v>420</v>
      </c>
      <c r="C7" s="31" t="s">
        <v>283</v>
      </c>
      <c r="D7" s="32" t="s">
        <v>186</v>
      </c>
      <c r="E7" s="39" t="n">
        <v>310</v>
      </c>
      <c r="F7" s="40" t="n">
        <v>220</v>
      </c>
      <c r="G7" s="41" t="n">
        <f aca="false">IF(E7&gt;0,F7*E7/100,F7*100/ABS(E7))</f>
        <v>682</v>
      </c>
      <c r="H7" s="41" t="n">
        <f aca="false">F7+G7</f>
        <v>902</v>
      </c>
      <c r="I7" s="56" t="s">
        <v>119</v>
      </c>
      <c r="J7" s="41" t="n">
        <f aca="false">IF(I7="Win",F7+G7,IF(I7="Push",F7,IF(I7="Loss",0,0)))</f>
        <v>0</v>
      </c>
      <c r="K7" s="43" t="n">
        <f aca="false">IF(I7="Pending",0,J7-F7)</f>
        <v>0</v>
      </c>
      <c r="L7" s="72" t="n">
        <v>0.27</v>
      </c>
      <c r="M7" s="61" t="s">
        <v>421</v>
      </c>
    </row>
    <row r="8" customFormat="false" ht="15" hidden="false" customHeight="true" outlineLevel="0" collapsed="false">
      <c r="A8" s="32" t="n">
        <v>2</v>
      </c>
      <c r="B8" s="5" t="s">
        <v>422</v>
      </c>
      <c r="C8" s="31" t="s">
        <v>283</v>
      </c>
      <c r="D8" s="32" t="s">
        <v>186</v>
      </c>
      <c r="E8" s="39" t="n">
        <v>425</v>
      </c>
      <c r="F8" s="40" t="n">
        <v>130</v>
      </c>
      <c r="G8" s="41" t="n">
        <f aca="false">IF(E8&gt;0,F8*E8/100,F8*100/ABS(E8))</f>
        <v>552.5</v>
      </c>
      <c r="H8" s="41" t="n">
        <f aca="false">F8+G8</f>
        <v>682.5</v>
      </c>
      <c r="I8" s="56" t="s">
        <v>119</v>
      </c>
      <c r="J8" s="41" t="n">
        <f aca="false">IF(I8="Win",F8+G8,IF(I8="Push",F8,IF(I8="Loss",0,0)))</f>
        <v>0</v>
      </c>
      <c r="K8" s="43" t="n">
        <f aca="false">IF(I8="Pending",0,J8-F8)</f>
        <v>0</v>
      </c>
      <c r="L8" s="72" t="n">
        <v>0.18</v>
      </c>
      <c r="M8" s="61" t="s">
        <v>423</v>
      </c>
    </row>
    <row r="9" customFormat="false" ht="15" hidden="false" customHeight="true" outlineLevel="0" collapsed="false">
      <c r="A9" s="32" t="n">
        <v>3</v>
      </c>
      <c r="B9" s="5" t="s">
        <v>424</v>
      </c>
      <c r="C9" s="31" t="s">
        <v>425</v>
      </c>
      <c r="D9" s="32" t="s">
        <v>90</v>
      </c>
      <c r="E9" s="39" t="n">
        <v>-110</v>
      </c>
      <c r="F9" s="40" t="n">
        <v>180</v>
      </c>
      <c r="G9" s="41" t="n">
        <f aca="false">IF(E9&gt;0,F9*E9/100,F9*100/ABS(E9))</f>
        <v>163.636363636364</v>
      </c>
      <c r="H9" s="41" t="n">
        <f aca="false">F9+G9</f>
        <v>343.636363636364</v>
      </c>
      <c r="I9" s="56" t="s">
        <v>119</v>
      </c>
      <c r="J9" s="41" t="n">
        <f aca="false">IF(I9="Win",F9+G9,IF(I9="Push",F9,IF(I9="Loss",0,0)))</f>
        <v>0</v>
      </c>
      <c r="K9" s="43" t="n">
        <f aca="false">IF(I9="Pending",0,J9-F9)</f>
        <v>0</v>
      </c>
      <c r="L9" s="72" t="n">
        <v>0.6</v>
      </c>
      <c r="M9" s="61" t="s">
        <v>426</v>
      </c>
    </row>
    <row r="10" customFormat="false" ht="15" hidden="false" customHeight="true" outlineLevel="0" collapsed="false">
      <c r="A10" s="32" t="n">
        <v>4</v>
      </c>
      <c r="B10" s="5" t="s">
        <v>427</v>
      </c>
      <c r="C10" s="31" t="s">
        <v>428</v>
      </c>
      <c r="D10" s="32" t="s">
        <v>90</v>
      </c>
      <c r="E10" s="39" t="n">
        <v>-110</v>
      </c>
      <c r="F10" s="40" t="n">
        <v>150</v>
      </c>
      <c r="G10" s="41" t="n">
        <f aca="false">IF(E10&gt;0,F10*E10/100,F10*100/ABS(E10))</f>
        <v>136.363636363636</v>
      </c>
      <c r="H10" s="41" t="n">
        <f aca="false">F10+G10</f>
        <v>286.363636363636</v>
      </c>
      <c r="I10" s="56" t="s">
        <v>119</v>
      </c>
      <c r="J10" s="41" t="n">
        <f aca="false">IF(I10="Win",F10+G10,IF(I10="Push",F10,IF(I10="Loss",0,0)))</f>
        <v>0</v>
      </c>
      <c r="K10" s="43" t="n">
        <f aca="false">IF(I10="Pending",0,J10-F10)</f>
        <v>0</v>
      </c>
      <c r="L10" s="72" t="n">
        <v>0.58</v>
      </c>
      <c r="M10" s="61" t="s">
        <v>429</v>
      </c>
    </row>
    <row r="11" customFormat="false" ht="15" hidden="false" customHeight="true" outlineLevel="0" collapsed="false">
      <c r="A11" s="32" t="n">
        <v>5</v>
      </c>
      <c r="B11" s="5" t="s">
        <v>430</v>
      </c>
      <c r="C11" s="31" t="s">
        <v>425</v>
      </c>
      <c r="D11" s="32" t="s">
        <v>90</v>
      </c>
      <c r="E11" s="39" t="n">
        <v>-110</v>
      </c>
      <c r="F11" s="40" t="n">
        <v>120</v>
      </c>
      <c r="G11" s="41" t="n">
        <f aca="false">IF(E11&gt;0,F11*E11/100,F11*100/ABS(E11))</f>
        <v>109.090909090909</v>
      </c>
      <c r="H11" s="41" t="n">
        <f aca="false">F11+G11</f>
        <v>229.090909090909</v>
      </c>
      <c r="I11" s="56" t="s">
        <v>119</v>
      </c>
      <c r="J11" s="41" t="n">
        <f aca="false">IF(I11="Win",F11+G11,IF(I11="Push",F11,IF(I11="Loss",0,0)))</f>
        <v>0</v>
      </c>
      <c r="K11" s="43" t="n">
        <f aca="false">IF(I11="Pending",0,J11-F11)</f>
        <v>0</v>
      </c>
      <c r="L11" s="72" t="n">
        <v>0.57</v>
      </c>
      <c r="M11" s="61" t="s">
        <v>431</v>
      </c>
    </row>
    <row r="12" customFormat="false" ht="15" hidden="false" customHeight="true" outlineLevel="0" collapsed="false">
      <c r="A12" s="32" t="n">
        <v>6</v>
      </c>
      <c r="B12" s="5" t="s">
        <v>432</v>
      </c>
      <c r="C12" s="31" t="s">
        <v>433</v>
      </c>
      <c r="D12" s="32" t="s">
        <v>90</v>
      </c>
      <c r="E12" s="39" t="n">
        <v>-110</v>
      </c>
      <c r="F12" s="40" t="n">
        <v>125</v>
      </c>
      <c r="G12" s="41" t="n">
        <f aca="false">IF(E12&gt;0,F12*E12/100,F12*100/ABS(E12))</f>
        <v>113.636363636364</v>
      </c>
      <c r="H12" s="41" t="n">
        <f aca="false">F12+G12</f>
        <v>238.636363636364</v>
      </c>
      <c r="I12" s="56" t="s">
        <v>86</v>
      </c>
      <c r="J12" s="41" t="n">
        <f aca="false">IF(I12="Win",F12+G12,IF(I12="Push",F12,IF(I12="Loss",0,0)))</f>
        <v>238.636363636364</v>
      </c>
      <c r="K12" s="43" t="n">
        <f aca="false">IF(I12="Pending",0,J12-F12)</f>
        <v>113.636363636364</v>
      </c>
      <c r="L12" s="72" t="n">
        <v>0.56</v>
      </c>
      <c r="M12" s="61" t="s">
        <v>434</v>
      </c>
    </row>
    <row r="13" customFormat="false" ht="15" hidden="false" customHeight="true" outlineLevel="0" collapsed="false">
      <c r="A13" s="32" t="n">
        <v>7</v>
      </c>
      <c r="B13" s="5" t="s">
        <v>435</v>
      </c>
      <c r="C13" s="31" t="s">
        <v>283</v>
      </c>
      <c r="D13" s="32" t="s">
        <v>186</v>
      </c>
      <c r="E13" s="39" t="n">
        <v>1400</v>
      </c>
      <c r="F13" s="40" t="n">
        <v>75</v>
      </c>
      <c r="G13" s="41" t="n">
        <f aca="false">IF(E13&gt;0,F13*E13/100,F13*100/ABS(E13))</f>
        <v>1050</v>
      </c>
      <c r="H13" s="41" t="n">
        <f aca="false">F13+G13</f>
        <v>1125</v>
      </c>
      <c r="I13" s="56" t="s">
        <v>119</v>
      </c>
      <c r="J13" s="41" t="n">
        <f aca="false">IF(I13="Win",F13+G13,IF(I13="Push",F13,IF(I13="Loss",0,0)))</f>
        <v>0</v>
      </c>
      <c r="K13" s="43" t="n">
        <f aca="false">IF(I13="Pending",0,J13-F13)</f>
        <v>0</v>
      </c>
      <c r="L13" s="72" t="n">
        <v>0.07</v>
      </c>
      <c r="M13" s="61" t="s">
        <v>436</v>
      </c>
    </row>
    <row r="14" customFormat="false" ht="15" hidden="false" customHeight="true" outlineLevel="0" collapsed="false">
      <c r="B14" s="4" t="s">
        <v>37</v>
      </c>
      <c r="F14" s="8" t="n">
        <f aca="false">SUM(F7:F13)</f>
        <v>1000</v>
      </c>
      <c r="G14" s="8" t="n">
        <f aca="false">SUM(G7:G13)</f>
        <v>2807.22727272727</v>
      </c>
      <c r="H14" s="8" t="n">
        <f aca="false">SUM(H7:H13)</f>
        <v>3807.22727272727</v>
      </c>
      <c r="J14" s="8" t="n">
        <f aca="false">SUM(J7:J13)</f>
        <v>238.636363636364</v>
      </c>
      <c r="K14" s="8" t="n">
        <f aca="false">SUM(K7:K13)</f>
        <v>113.636363636364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2026-07-14T01:13:32Z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