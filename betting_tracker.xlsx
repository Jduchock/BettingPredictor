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<sst xmlns="http://schemas.openxmlformats.org/spreadsheetml/2006/main" count="838" uniqueCount="486">
  <si>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</si>
  <si>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</si>
  <si>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</si>
  <si>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</si>
  <si>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</si>
  <si>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</si>
  <si>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</si>
  <si>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</si>
  <si>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</si>
  <si>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</si>
  <si>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</si>
  <si>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</si>
  <si>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</si>
  <si>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</si>
  <si>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</si>
  <si>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</si>
  <si>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</si>
  <si>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</si>
  <si>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</si>
  <si>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</si>
  <si>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</si>
  <si>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</si>
  <si>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</si>
  <si>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</si>
  <si>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</si>
  <si>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</si>
  <si>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</si>
  <si>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</si>
  <si>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</si>
  <si>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</si>
  <si>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</si>
  <si>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</si>
  <si>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</si>
  <si>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</si>
  <si>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</si>
  <si>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</si>
  <si>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</si>
  <si>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</si>
  <si>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</si>
  <si>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</si>
  <si>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</si>
  <si>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</si>
  <si>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</si>
  <si>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</si>
  <si>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</si>
  <si>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</si>
  <si>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</si>
  <si>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</si>
  <si>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</si>
  <si>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</si>
  <si>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</si>
  <si>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</si>
  <si>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</si>
  <si>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</si>
  <si>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</si>
  <si>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</si>
  <si>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</si>
  <si>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</si>
  <si>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</si>
  <si>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</si>
  <si>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</si>
  <si>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</si>
  <si>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</si>
  <si>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</si>
  <si>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</si>
  <si>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</si>
  <si>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</si>
  <si>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</si>
  <si>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</si>
  <si>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</si>
  <si>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</si>
  <si>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</si>
  <si>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</si>
  <si>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</si>
  <si>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</si>
  <si>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</si>
  <si>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</si>
  <si>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</si>
  <si>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</si>
  <si>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</si>
  <si>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</si>
  <si>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</si>
  <si>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</si>
  <si>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</si>
  <si>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</si>
  <si>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</si>
  <si>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</si>
  <si>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</si>
  <si>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</si>
  <si>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</si>
  <si>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</si>
  <si>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</si>
  <si>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</si>
  <si>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</si>
  <si>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</si>
  <si>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</si>
  <si>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</si>
  <si>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</si>
  <si>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</si>
  <si>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</si>
  <si>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</si>
  <si>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</si>
  <si>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</si>
  <si>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</si>
  <si>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</si>
  <si>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</si>
  <si>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</si>
  <si>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</si>
  <si>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</si>
  <si>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</si>
  <si>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</si>
  <si>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</si>
  <si>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</si>
  <si>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</si>
  <si>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</si>
  <si>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</si>
  <si>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</si>
  <si>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</si>
  <si>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</si>
  <si>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</si>
  <si>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</si>
  <si>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</si>
  <si>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</si>
  <si>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</si>
  <si>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</si>
  <si>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</si>
  <si>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</si>
  <si>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</si>
  <si>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</si>
  <si>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</si>
  <si>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</si>
  <si>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</si>
  <si>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</si>
  <si>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</si>
  <si>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</si>
  <si>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</si>
  <si>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</si>
  <si>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</si>
  <si>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</si>
  <si>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</si>
  <si>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</si>
  <si>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</si>
  <si>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</si>
  <si>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</si>
  <si>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</si>
  <si>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</si>
  <si>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</si>
  <si>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</si>
  <si>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</si>
  <si>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</si>
  <si>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</si>
  <si>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</si>
  <si>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</si>
  <si>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</si>
  <si>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</si>
  <si>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</si>
  <si>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</si>
  <si>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</si>
  <si>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</si>
  <si>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</si>
  <si>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</si>
  <si>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</si>
  <si>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</si>
  <si>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</si>
  <si>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</si>
  <si>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</si>
  <si>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</si>
  <si>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</si>
  <si>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</si>
  <si>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</si>
  <si>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</si>
  <si>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</si>
  <si>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</si>
  <si>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</si>
  <si>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</si>
  <si>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</si>
  <si>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</si>
  <si>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</si>
  <si>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</si>
  <si>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</si>
  <si>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</si>
  <si>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</si>
  <si>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</si>
  <si>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</si>
  <si>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</si>
  <si>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</si>
  <si>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</si>
  <si>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</si>
  <si>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</si>
  <si>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</si>
  <si>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</si>
  <si>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</si>
  <si>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</si>
  <si>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</si>
  <si>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</si>
  <si>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</si>
  <si>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</si>
  <si>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</si>
  <si>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</si>
  <si>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</si>
  <si>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</si>
  <si>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</si>
  <si>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</si>
  <si>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</si>
  <si>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</si>
  <si>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</si>
  <si>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</si>
  <si>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</si>
  <si>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</si>
  <si>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</si>
  <si>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</si>
  <si>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</si>
  <si>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</si>
  <si>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</si>
  <si>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</si>
  <si>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</si>
  <si>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</si>
  <si>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</si>
  <si>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</si>
  <si>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</si>
  <si>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</si>
  <si>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</si>
  <si>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</si>
  <si>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</si>
  <si>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</si>
  <si>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</si>
  <si>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</si>
  <si>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</si>
  <si>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</si>
  <si>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</si>
  <si>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</si>
  <si>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</si>
  <si>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</si>
  <si>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</si>
  <si>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</si>
  <si>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</si>
  <si>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</si>
  <si>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</si>
  <si>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</si>
  <si>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</si>
  <si>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</si>
  <si>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</si>
  <si>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</si>
  <si>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</si>
  <si>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</si>
  <si>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</si>
  <si>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</si>
  <si>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</si>
  <si>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</si>
  <si>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</si>
  <si>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</si>
  <si>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</si>
  <si>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</si>
  <si>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</si>
  <si>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</si>
  <si>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</si>
  <si>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</si>
  <si>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</si>
  <si>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</si>
  <si>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</si>
  <si>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</si>
  <si>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</si>
  <si>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</si>
  <si>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</si>
  <si>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</si>
  <si>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</si>
  <si>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</si>
  <si>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</si>
  <si>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</si>
  <si>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</si>
  <si>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</si>
  <si>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</si>
  <si>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</si>
  <si>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</si>
  <si>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</si>
  <si>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</si>
  <si>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</si>
  <si>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</si>
  <si>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</si>
  <si>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</si>
  <si>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</si>
  <si>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</si>
  <si>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</si>
  <si>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</si>
  <si>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</si>
  <si>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</si>
  <si>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</si>
  <si>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</si>
  <si>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</si>
  <si>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</si>
  <si>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</si>
  <si>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</si>
  <si>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</si>
  <si>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</si>
  <si>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</si>
  <si>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</si>
  <si>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</si>
  <si>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</si>
  <si>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</si>
  <si>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</si>
  <si>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</si>
  <si>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</si>
  <si>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</si>
  <si>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</si>
  <si>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</si>
  <si>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</si>
  <si>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</si>
  <si>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</si>
  <si>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</si>
  <si>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</si>
  <si>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</si>
  <si>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</si>
  <si>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</si>
  <si>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</si>
  <si>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</si>
  <si>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</si>
  <si>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</si>
  <si>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</si>
  <si>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</si>
  <si>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</si>
  <si>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</si>
  <si>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</si>
  <si>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</si>
  <si>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</si>
  <si>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</si>
  <si>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</si>
  <si>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</si>
  <si>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</si>
  <si>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</si>
  <si>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</si>
  <si>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</si>
  <si>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</si>
  <si>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</si>
  <si>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</si>
  <si>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</si>
  <si>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</si>
  <si>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</si>
  <si>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</si>
  <si>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</si>
  <si>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</si>
  <si>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</si>
  <si>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</si>
  <si>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</si>
  <si>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</si>
  <si>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</si>
  <si>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</si>
  <si>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</si>
  <si>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</si>
  <si>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</si>
  <si>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</si>
  <si>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</si>
  <si>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</si>
  <si>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</si>
  <si>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</si>
  <si>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</si>
  <si>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</si>
  <si>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</si>
  <si>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</si>
  <si>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</si>
  <si>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</si>
  <si>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</si>
  <si>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</si>
  <si>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</si>
  <si>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</si>
  <si>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</si>
  <si>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</si>
  <si>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</si>
  <si>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</si>
  <si>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</si>
  <si>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</si>
  <si>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</si>
  <si>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</si>
  <si>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</si>
  <si>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</si>
  <si>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</si>
  <si>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</si>
  <si>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</si>
  <si>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</si>
  <si>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</si>
  <si>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</si>
  <si>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</si>
  <si>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</si>
  <si>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</si>
  <si>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</si>
  <si>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</si>
  <si>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</si>
  <si>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</si>
  <si>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</si>
  <si>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</si>
  <si>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</si>
  <si>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</si>
  <si>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</si>
  <si>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</si>
  <si>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</si>
  <si>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</si>
  <si>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</si>
  <si>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</si>
  <si>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</si>
  <si>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</si>
  <si>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(3:10 PM UK): TWO record 62s — Herbert leads -8; The Open official feed: "Sam Burns also cards an impressive 62 at Royal Birkdale" (Yahoo headline: both tie record for lowest major score ever; Burns total pending). Suber clubhouse -6. Morikawa no fresher number (last -5 thru 9, best on card). Koepka/Fitzpatrick no in-play numbers (E / +2 overnight, cut watch). Cut ~+1 (Yahoo 53%, Data Golf 50.9%). Scheffler off 3:04, Rahm/Fleetwood off 3:15 PM UK — $760 of card on course.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</si>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</sst>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\$#,##0"/>
    <numFmt numFmtId="175" formatCode="\$#,##0.00"/>
    <numFmt numFmtId="176" formatCode="\$#,##0.00;&quot;($&quot;#,##0.00\)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false" outlineLevel="0" collapsed="false">
      <c r="A31" s="69" t="s">
        <v>60</v>
      </c>
      <c r="B31" s="69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70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70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70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70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70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70" t="n">
        <v>0.025</v>
      </c>
      <c r="M12" s="58" t="s">
        <v>413</v>
      </c>
    </row>
    <row r="13" customFormat="false" ht="15" hidden="false" customHeight="true" outlineLevel="0" collapsed="false">
      <c r="A13" s="71" t="n">
        <v>7</v>
      </c>
      <c r="B13" s="72" t="s">
        <v>414</v>
      </c>
      <c r="C13" s="73" t="s">
        <v>415</v>
      </c>
      <c r="D13" s="71" t="s">
        <v>92</v>
      </c>
      <c r="E13" s="74" t="n">
        <v>-146</v>
      </c>
      <c r="F13" s="75" t="n">
        <v>120</v>
      </c>
      <c r="G13" s="76" t="n">
        <f aca="false">IF(E13&gt;0,F13*E13/100,F13*100/ABS(E13))</f>
        <v>82.1917808219178</v>
      </c>
      <c r="H13" s="76" t="n">
        <f aca="false">F13+G13</f>
        <v>202.191780821918</v>
      </c>
      <c r="I13" s="53" t="s">
        <v>121</v>
      </c>
      <c r="J13" s="76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70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70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70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80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70" t="n">
        <v>0.3</v>
      </c>
      <c r="M17" s="58" t="s">
        <v>424</v>
      </c>
    </row>
    <row r="18" customFormat="false" ht="15" hidden="false" customHeight="true" outlineLevel="0" collapsed="false">
      <c r="B18" s="81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3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70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70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70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70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70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70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70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4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70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70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70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70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70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70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70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50"/>
  </cols>
  <sheetData>
    <row r="1" customFormat="false" ht="16.15" hidden="false" customHeight="false" outlineLevel="0" collapsed="false">
      <c r="A1" s="85" t="s">
        <v>472</v>
      </c>
      <c r="H1" s="86" t="s">
        <v>473</v>
      </c>
    </row>
    <row r="2" customFormat="false" ht="15" hidden="false" customHeight="false" outlineLevel="0" collapsed="false">
      <c r="A2" s="87" t="s">
        <v>474</v>
      </c>
    </row>
    <row r="3" customFormat="false" ht="15" hidden="false" customHeight="false" outlineLevel="0" collapsed="false">
      <c r="A3" s="87" t="s">
        <v>475</v>
      </c>
    </row>
    <row r="5" customFormat="false" ht="15" hidden="false" customHeight="false" outlineLevel="0" collapsed="false">
      <c r="A5" s="88" t="s">
        <v>74</v>
      </c>
    </row>
    <row r="6" customFormat="false" ht="23.85" hidden="false" customHeight="fals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fals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89" t="n">
        <v>340</v>
      </c>
      <c r="G7" s="90" t="n">
        <f aca="false">IF(E7&gt;0,F7*E7/100,F7*100/ABS(E7))</f>
        <v>306.306306306306</v>
      </c>
      <c r="H7" s="90" t="n">
        <f aca="false">F7+G7</f>
        <v>646.306306306306</v>
      </c>
      <c r="I7" s="53" t="s">
        <v>121</v>
      </c>
      <c r="J7" s="90" t="n">
        <f aca="false">IF(I7="Win",F7+G7,IF(I7="Push",F7,IF(I7="Loss",0,0)))</f>
        <v>0</v>
      </c>
      <c r="K7" s="91" t="n">
        <f aca="false">IF(I7="Pending",0,J7-F7)</f>
        <v>0</v>
      </c>
      <c r="L7" s="70" t="n">
        <v>0.6</v>
      </c>
      <c r="M7" s="58" t="s">
        <v>479</v>
      </c>
    </row>
    <row r="8" customFormat="false" ht="15" hidden="false" customHeight="fals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89" t="n">
        <v>150</v>
      </c>
      <c r="G8" s="90" t="n">
        <f aca="false">IF(E8&gt;0,F8*E8/100,F8*100/ABS(E8))</f>
        <v>136.363636363636</v>
      </c>
      <c r="H8" s="90" t="n">
        <f aca="false">F8+G8</f>
        <v>286.363636363636</v>
      </c>
      <c r="I8" s="53" t="s">
        <v>121</v>
      </c>
      <c r="J8" s="90" t="n">
        <f aca="false">IF(I8="Win",F8+G8,IF(I8="Push",F8,IF(I8="Loss",0,0)))</f>
        <v>0</v>
      </c>
      <c r="K8" s="91" t="n">
        <f aca="false">IF(I8="Pending",0,J8-F8)</f>
        <v>0</v>
      </c>
      <c r="L8" s="70" t="n">
        <v>0.54</v>
      </c>
      <c r="M8" s="58" t="s">
        <v>482</v>
      </c>
    </row>
    <row r="9" customFormat="false" ht="15" hidden="false" customHeight="fals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89" t="n">
        <v>60</v>
      </c>
      <c r="G9" s="90" t="n">
        <f aca="false">IF(E9&gt;0,F9*E9/100,F9*100/ABS(E9))</f>
        <v>157.8</v>
      </c>
      <c r="H9" s="90" t="n">
        <f aca="false">F9+G9</f>
        <v>217.8</v>
      </c>
      <c r="I9" s="53" t="s">
        <v>121</v>
      </c>
      <c r="J9" s="90" t="n">
        <f aca="false">IF(I9="Win",F9+G9,IF(I9="Push",F9,IF(I9="Loss",0,0)))</f>
        <v>0</v>
      </c>
      <c r="K9" s="91" t="n">
        <f aca="false">IF(I9="Pending",0,J9-F9)</f>
        <v>0</v>
      </c>
      <c r="L9" s="70" t="n">
        <v>0.32</v>
      </c>
      <c r="M9" s="58" t="s">
        <v>485</v>
      </c>
    </row>
    <row r="10" customFormat="false" ht="15" hidden="false" customHeight="false" outlineLevel="0" collapsed="false">
      <c r="B10" s="88" t="s">
        <v>425</v>
      </c>
      <c r="F10" s="92" t="n">
        <f aca="false">SUM(F7:F9)</f>
        <v>550</v>
      </c>
      <c r="G10" s="92" t="n">
        <f aca="false">SUM(G7:G9)</f>
        <v>600.469942669943</v>
      </c>
      <c r="H10" s="92" t="n">
        <f aca="false">SUM(H7:H9)</f>
        <v>1150.46994266994</v>
      </c>
      <c r="J10" s="92" t="n">
        <f aca="false">SUM(J7:J9)</f>
        <v>0</v>
      </c>
      <c r="K10" s="92" t="n">
        <f aca="false">SUM(K7:K9)</f>
        <v>0</v>
      </c>
    </row>
  </sheetData>
  <conditionalFormatting sqref="K7:K10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2026-07-17T15:05:18Z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