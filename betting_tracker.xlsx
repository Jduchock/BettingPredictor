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<sst xmlns="http://schemas.openxmlformats.org/spreadsheetml/2006/main" count="803" uniqueCount="473">
  <si>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</si>
  <si>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</si>
  <si>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</si>
  <si>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</si>
  <si>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</si>
  <si>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</si>
  <si>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</si>
  <si>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</si>
  <si>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</si>
  <si>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</si>
  <si>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</si>
  <si>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</si>
  <si>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</si>
  <si>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</si>
  <si>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</si>
  <si>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</si>
  <si>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</si>
  <si>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</si>
  <si>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</si>
  <si>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</si>
  <si>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</si>
  <si>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</si>
  <si>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</si>
  <si>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</si>
  <si>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</si>
  <si>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</si>
  <si>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</si>
  <si>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</si>
  <si>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</si>
  <si>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</si>
  <si>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</si>
  <si>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</si>
  <si>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</si>
  <si>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</si>
  <si>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</si>
  <si>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</si>
  <si>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</si>
  <si>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</si>
  <si>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</si>
  <si>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</si>
  <si>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</si>
  <si>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</si>
  <si>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</si>
  <si>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</si>
  <si>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</si>
  <si>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</si>
  <si>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</si>
  <si>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</si>
  <si>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</si>
  <si>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</si>
  <si>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</si>
  <si>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</si>
  <si>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</si>
  <si>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</si>
  <si>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</si>
  <si>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</si>
  <si>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</si>
  <si>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</si>
  <si>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</si>
  <si>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</si>
  <si>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</si>
  <si>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</si>
  <si>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</si>
  <si>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</si>
  <si>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</si>
  <si>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</si>
  <si>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</si>
  <si>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</si>
  <si>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</si>
  <si>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</si>
  <si>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</si>
  <si>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</si>
  <si>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</si>
  <si>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</si>
  <si>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</si>
  <si>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</si>
  <si>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</si>
  <si>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</si>
  <si>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</si>
  <si>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</si>
  <si>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</si>
  <si>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</si>
  <si>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</si>
  <si>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</si>
  <si>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</si>
  <si>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</si>
  <si>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</si>
  <si>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</si>
  <si>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</si>
  <si>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</si>
  <si>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</si>
  <si>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</si>
  <si>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</si>
  <si>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</si>
  <si>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</si>
  <si>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</si>
  <si>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</si>
  <si>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</si>
  <si>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</si>
  <si>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</si>
  <si>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</si>
  <si>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</si>
  <si>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</si>
  <si>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</si>
  <si>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</si>
  <si>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</si>
  <si>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</si>
  <si>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</si>
  <si>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</si>
  <si>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</si>
  <si>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</si>
  <si>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</si>
  <si>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</si>
  <si>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</si>
  <si>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</si>
  <si>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</si>
  <si>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</si>
  <si>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</si>
  <si>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</si>
  <si>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</si>
  <si>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</si>
  <si>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</si>
  <si>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</si>
  <si>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</si>
  <si>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</si>
  <si>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</si>
  <si>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</si>
  <si>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</si>
  <si>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</si>
  <si>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</si>
  <si>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</si>
  <si>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</si>
  <si>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</si>
  <si>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</si>
  <si>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</si>
  <si>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</si>
  <si>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</si>
  <si>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</si>
  <si>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</si>
  <si>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</si>
  <si>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</si>
  <si>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</si>
  <si>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</si>
  <si>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</si>
  <si>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</si>
  <si>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</si>
  <si>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</si>
  <si>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</si>
  <si>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</si>
  <si>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</si>
  <si>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</si>
  <si>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</si>
  <si>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</si>
  <si>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</si>
  <si>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</si>
  <si>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</si>
  <si>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</si>
  <si>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</si>
  <si>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</si>
  <si>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</si>
  <si>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</si>
  <si>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</si>
  <si>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</si>
  <si>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</si>
  <si>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</si>
  <si>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</si>
  <si>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</si>
  <si>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</si>
  <si>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</si>
  <si>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</si>
  <si>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</si>
  <si>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</si>
  <si>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</si>
  <si>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</si>
  <si>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</si>
  <si>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</si>
  <si>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</si>
  <si>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</si>
  <si>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</si>
  <si>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</si>
  <si>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</si>
  <si>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</si>
  <si>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</si>
  <si>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</si>
  <si>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</si>
  <si>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</si>
  <si>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</si>
  <si>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</si>
  <si>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</si>
  <si>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</si>
  <si>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</si>
  <si>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</si>
  <si>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</si>
  <si>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</si>
  <si>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</si>
  <si>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</si>
  <si>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</si>
  <si>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</si>
  <si>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</si>
  <si>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</si>
  <si>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</si>
  <si>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</si>
  <si>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</si>
  <si>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</si>
  <si>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</si>
  <si>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</si>
  <si>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</si>
  <si>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</si>
  <si>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</si>
  <si>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</si>
  <si>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</si>
  <si>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</si>
  <si>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</si>
  <si>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</si>
  <si>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</si>
  <si>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</si>
  <si>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</si>
  <si>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</si>
  <si>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</si>
  <si>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</si>
  <si>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</si>
  <si>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</si>
  <si>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</si>
  <si>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</si>
  <si>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</si>
  <si>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</si>
  <si>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</si>
  <si>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</si>
  <si>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</si>
  <si>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</si>
  <si>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</si>
  <si>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</si>
  <si>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</si>
  <si>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</si>
  <si>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</si>
  <si>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</si>
  <si>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</si>
  <si>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</si>
  <si>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</si>
  <si>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</si>
  <si>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</si>
  <si>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</si>
  <si>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</si>
  <si>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</si>
  <si>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</si>
  <si>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</si>
  <si>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</si>
  <si>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</si>
  <si>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</si>
  <si>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</si>
  <si>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</si>
  <si>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</si>
  <si>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</si>
  <si>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</si>
  <si>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</si>
  <si>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</si>
  <si>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</si>
  <si>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</si>
  <si>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</si>
  <si>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</si>
  <si>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</si>
  <si>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</si>
  <si>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</si>
  <si>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</si>
  <si>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</si>
  <si>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</si>
  <si>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</si>
  <si>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</si>
  <si>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</si>
  <si>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</si>
  <si>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</si>
  <si>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</si>
  <si>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</si>
  <si>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</si>
  <si>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</si>
  <si>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</si>
  <si>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</si>
  <si>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</si>
  <si>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</si>
  <si>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</si>
  <si>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</si>
  <si>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</si>
  <si>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</si>
  <si>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</si>
  <si>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</si>
  <si>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</si>
  <si>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</si>
  <si>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</si>
  <si>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</si>
  <si>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</si>
  <si>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</si>
  <si>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</si>
  <si>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</si>
  <si>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</si>
  <si>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</si>
  <si>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</si>
  <si>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</si>
  <si>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</si>
  <si>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</si>
  <si>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</si>
  <si>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</si>
  <si>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</si>
  <si>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</si>
  <si>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</si>
  <si>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</si>
  <si>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</si>
  <si>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</si>
  <si>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</si>
  <si>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</si>
  <si>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</si>
  <si>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</si>
  <si>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</si>
  <si>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</si>
  <si>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</si>
  <si>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</si>
  <si>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</si>
  <si>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</si>
  <si>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</si>
  <si>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</si>
  <si>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</si>
  <si>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</si>
  <si>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</si>
  <si>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</si>
  <si>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</si>
  <si>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</si>
  <si>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</si>
  <si>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</si>
  <si>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</si>
  <si>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</si>
  <si>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</si>
  <si>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</si>
  <si>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</si>
  <si>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</si>
  <si>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</si>
  <si>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</si>
  <si>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</si>
  <si>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</si>
  <si>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</si>
  <si>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</si>
  <si>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</si>
  <si>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</si>
  <si>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</si>
  <si>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</si>
  <si>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</si>
  <si>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</si>
  <si>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</si>
  <si>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</si>
  <si>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</si>
  <si>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</si>
  <si>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</si>
  <si>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</si>
  <si>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</si>
  <si>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</si>
  <si>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</si>
  <si>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</si>
  <si>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</si>
  <si>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</si>
  <si>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</si>
  <si>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</si>
  <si>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</si>
  <si>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</si>
  <si>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</si>
  <si>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</si>
  <si>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</si>
  <si>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</si>
  <si>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</si>
  <si>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</si>
  <si>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</si>
  <si>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</si>
  <si>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</si>
  <si>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</si>
  <si>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</si>
  <si>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</si>
  <si>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</si>
  <si>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</si>
  <si>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</si>
  <si>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</si>
  <si>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</si>
  <si>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</si>
  <si>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</si>
  <si>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</si>
  <si>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</si>
  <si>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</si>
  <si>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</si>
  <si>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</si>
  <si>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</si>
  <si>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</si>
  <si>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</si>
  <si>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</si>
  <si>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</si>
  <si>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</si>
  <si>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</si>
  <si>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</si>
  <si>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</si>
  <si>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</si>
  <si>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</si>
  <si>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</si>
  <si>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</si>
  <si>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</si>
  <si>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</si>
  <si>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IN PROGRESS Fri Jul 17 (10 AM UK): morning wave away — Morikawa 9:36, Koepka 9:47, Fitzpatrick 10:09; Suber (−5 leader) mid-round. Overnight board stands; projected cut +1 (~40% to +2), Fitzpatrick +2 on the number · $1,000 fully deployed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</si>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</sst>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1943.68337513795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4" t="n">
        <v>7</v>
      </c>
      <c r="B19" s="25" t="s">
        <v>28</v>
      </c>
      <c r="C19" s="24" t="s">
        <v>29</v>
      </c>
      <c r="D19" s="26" t="s">
        <v>30</v>
      </c>
      <c r="E19" s="27" t="n">
        <v>0</v>
      </c>
      <c r="F19" s="27" t="n">
        <v>0</v>
      </c>
      <c r="G19" s="27" t="n">
        <v>0</v>
      </c>
      <c r="H19" s="27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31</v>
      </c>
      <c r="C20" s="14" t="s">
        <v>32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33</v>
      </c>
      <c r="C21" s="14" t="s">
        <v>34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35</v>
      </c>
      <c r="C22" s="14" t="s">
        <v>34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36</v>
      </c>
      <c r="C23" s="14" t="s">
        <v>34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37</v>
      </c>
      <c r="C24" s="14" t="s">
        <v>38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8050</v>
      </c>
      <c r="F25" s="8" t="n">
        <f aca="false">SUM(F16:F24)</f>
        <v>1000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-300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90</v>
      </c>
      <c r="J8" s="41" t="n">
        <f aca="false">IF(I8="Win",F8+G8,IF(I8="Push",F8,IF(I8="Loss",0,0)))</f>
        <v>218.360655737705</v>
      </c>
      <c r="K8" s="43" t="n">
        <f aca="false">IF(I8="Pending",0,J8-F8)</f>
        <v>98.3606557377049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90</v>
      </c>
      <c r="J9" s="41" t="n">
        <f aca="false">IF(I9="Win",F9+G9,IF(I9="Push",F9,IF(I9="Loss",0,0)))</f>
        <v>412.5</v>
      </c>
      <c r="K9" s="43" t="n">
        <f aca="false">IF(I9="Pending",0,J9-F9)</f>
        <v>262.5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-80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-250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-50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-50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630.860655737705</v>
      </c>
      <c r="K14" s="50" t="n">
        <f aca="false">SUM(K7:K13)</f>
        <v>-369.139344262295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2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5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37" t="s">
        <v>124</v>
      </c>
      <c r="C21" s="52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630.860655737705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-369.139344262295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-0.369139344262295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24" t="n">
        <v>7</v>
      </c>
      <c r="B13" s="25" t="s">
        <v>415</v>
      </c>
      <c r="C13" s="74" t="s">
        <v>416</v>
      </c>
      <c r="D13" s="24" t="s">
        <v>94</v>
      </c>
      <c r="E13" s="75" t="n">
        <v>-146</v>
      </c>
      <c r="F13" s="76" t="n">
        <v>120</v>
      </c>
      <c r="G13" s="27" t="n">
        <f aca="false">IF(E13&gt;0,F13*E13/100,F13*100/ABS(E13))</f>
        <v>82.1917808219178</v>
      </c>
      <c r="H13" s="27" t="n">
        <f aca="false">F13+G13</f>
        <v>202.191780821918</v>
      </c>
      <c r="I13" s="57" t="s">
        <v>123</v>
      </c>
      <c r="J13" s="27" t="n">
        <f aca="false">IF(I13="Win",F13+G13,IF(I13="Push",F13,IF(I13="Loss",0,0)))</f>
        <v>0</v>
      </c>
      <c r="K13" s="77" t="n">
        <f aca="false">IF(I13="Pending",0,J13-F13)</f>
        <v>0</v>
      </c>
      <c r="L13" s="78" t="n">
        <v>0.62</v>
      </c>
      <c r="M13" s="79" t="s">
        <v>417</v>
      </c>
    </row>
    <row r="14" customFormat="false" ht="15" hidden="false" customHeight="true" outlineLevel="0" collapsed="false">
      <c r="A14" s="33" t="n">
        <v>8</v>
      </c>
      <c r="B14" s="5" t="s">
        <v>418</v>
      </c>
      <c r="C14" s="32" t="s">
        <v>416</v>
      </c>
      <c r="D14" s="33" t="s">
        <v>94</v>
      </c>
      <c r="E14" s="39" t="n">
        <v>158</v>
      </c>
      <c r="F14" s="40" t="n">
        <v>90</v>
      </c>
      <c r="G14" s="41" t="n">
        <f aca="false">IF(E14&gt;0,F14*E14/100,F14*100/ABS(E14))</f>
        <v>142.2</v>
      </c>
      <c r="H14" s="41" t="n">
        <f aca="false">F14+G14</f>
        <v>232.2</v>
      </c>
      <c r="I14" s="57" t="s">
        <v>123</v>
      </c>
      <c r="J14" s="41" t="n">
        <f aca="false">IF(I14="Win",F14+G14,IF(I14="Push",F14,IF(I14="Loss",0,0)))</f>
        <v>0</v>
      </c>
      <c r="K14" s="43" t="n">
        <f aca="false">IF(I14="Pending",0,J14-F14)</f>
        <v>0</v>
      </c>
      <c r="L14" s="73" t="n">
        <v>0.44</v>
      </c>
      <c r="M14" s="62" t="s">
        <v>419</v>
      </c>
    </row>
    <row r="15" customFormat="false" ht="15" hidden="false" customHeight="true" outlineLevel="0" collapsed="false">
      <c r="A15" s="33" t="n">
        <v>9</v>
      </c>
      <c r="B15" s="5" t="s">
        <v>420</v>
      </c>
      <c r="C15" s="32" t="s">
        <v>416</v>
      </c>
      <c r="D15" s="33" t="s">
        <v>94</v>
      </c>
      <c r="E15" s="39" t="n">
        <v>172</v>
      </c>
      <c r="F15" s="40" t="n">
        <v>80</v>
      </c>
      <c r="G15" s="41" t="n">
        <f aca="false">IF(E15&gt;0,F15*E15/100,F15*100/ABS(E15))</f>
        <v>137.6</v>
      </c>
      <c r="H15" s="41" t="n">
        <f aca="false">F15+G15</f>
        <v>217.6</v>
      </c>
      <c r="I15" s="57" t="s">
        <v>123</v>
      </c>
      <c r="J15" s="41" t="n">
        <f aca="false">IF(I15="Win",F15+G15,IF(I15="Push",F15,IF(I15="Loss",0,0)))</f>
        <v>0</v>
      </c>
      <c r="K15" s="43" t="n">
        <f aca="false">IF(I15="Pending",0,J15-F15)</f>
        <v>0</v>
      </c>
      <c r="L15" s="73" t="n">
        <v>0.42</v>
      </c>
      <c r="M15" s="62" t="s">
        <v>421</v>
      </c>
    </row>
    <row r="16" customFormat="false" ht="15" hidden="false" customHeight="true" outlineLevel="0" collapsed="false">
      <c r="A16" s="33" t="n">
        <v>10</v>
      </c>
      <c r="B16" s="5" t="s">
        <v>422</v>
      </c>
      <c r="C16" s="32" t="s">
        <v>416</v>
      </c>
      <c r="D16" s="33" t="s">
        <v>94</v>
      </c>
      <c r="E16" s="39" t="n">
        <v>164</v>
      </c>
      <c r="F16" s="40" t="n">
        <v>70</v>
      </c>
      <c r="G16" s="41" t="n">
        <f aca="false">IF(E16&gt;0,F16*E16/100,F16*100/ABS(E16))</f>
        <v>114.8</v>
      </c>
      <c r="H16" s="41" t="n">
        <f aca="false">F16+G16</f>
        <v>184.8</v>
      </c>
      <c r="I16" s="57" t="s">
        <v>123</v>
      </c>
      <c r="J16" s="41" t="n">
        <f aca="false">IF(I16="Win",F16+G16,IF(I16="Push",F16,IF(I16="Loss",0,0)))</f>
        <v>0</v>
      </c>
      <c r="K16" s="43" t="n">
        <f aca="false">IF(I16="Pending",0,J16-F16)</f>
        <v>0</v>
      </c>
      <c r="L16" s="73" t="n">
        <v>0.42</v>
      </c>
      <c r="M16" s="62" t="s">
        <v>423</v>
      </c>
    </row>
    <row r="17" customFormat="false" ht="15" hidden="false" customHeight="true" outlineLevel="0" collapsed="false">
      <c r="A17" s="33" t="n">
        <v>11</v>
      </c>
      <c r="B17" s="5" t="s">
        <v>424</v>
      </c>
      <c r="C17" s="80" t="s">
        <v>416</v>
      </c>
      <c r="D17" s="33" t="s">
        <v>94</v>
      </c>
      <c r="E17" s="39" t="n">
        <v>280</v>
      </c>
      <c r="F17" s="40" t="n">
        <v>40</v>
      </c>
      <c r="G17" s="41" t="n">
        <f aca="false">IF(E17&gt;0,F17*E17/100,F17*100/ABS(E17))</f>
        <v>112</v>
      </c>
      <c r="H17" s="41" t="n">
        <f aca="false">F17+G17</f>
        <v>152</v>
      </c>
      <c r="I17" s="57" t="s">
        <v>123</v>
      </c>
      <c r="J17" s="41" t="n">
        <f aca="false">IF(I17="Win",F17+G17,IF(I17="Push",F17,IF(I17="Loss",0,0)))</f>
        <v>0</v>
      </c>
      <c r="K17" s="43" t="n">
        <f aca="false">IF(I17="Pending",0,J17-F17)</f>
        <v>0</v>
      </c>
      <c r="L17" s="73" t="n">
        <v>0.3</v>
      </c>
      <c r="M17" s="62" t="s">
        <v>425</v>
      </c>
    </row>
    <row r="18" customFormat="false" ht="15" hidden="false" customHeight="true" outlineLevel="0" collapsed="false">
      <c r="B18" s="81" t="s">
        <v>426</v>
      </c>
      <c r="C18" s="51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2" t="n">
        <f aca="false">SUM(L7:L17)</f>
        <v>2.645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429</v>
      </c>
      <c r="H1" s="83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433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434</v>
      </c>
    </row>
    <row r="8" customFormat="false" ht="15" hidden="false" customHeight="true" outlineLevel="0" collapsed="false">
      <c r="A8" s="33" t="n">
        <v>2</v>
      </c>
      <c r="B8" s="5" t="s">
        <v>435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436</v>
      </c>
    </row>
    <row r="9" customFormat="false" ht="15" hidden="false" customHeight="true" outlineLevel="0" collapsed="false">
      <c r="A9" s="33" t="n">
        <v>3</v>
      </c>
      <c r="B9" s="5" t="s">
        <v>437</v>
      </c>
      <c r="C9" s="32" t="s">
        <v>438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439</v>
      </c>
    </row>
    <row r="10" customFormat="false" ht="15" hidden="false" customHeight="true" outlineLevel="0" collapsed="false">
      <c r="A10" s="33" t="n">
        <v>4</v>
      </c>
      <c r="B10" s="5" t="s">
        <v>440</v>
      </c>
      <c r="C10" s="32" t="s">
        <v>441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442</v>
      </c>
    </row>
    <row r="11" customFormat="false" ht="15" hidden="false" customHeight="true" outlineLevel="0" collapsed="false">
      <c r="A11" s="33" t="n">
        <v>5</v>
      </c>
      <c r="B11" s="5" t="s">
        <v>443</v>
      </c>
      <c r="C11" s="32" t="s">
        <v>438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444</v>
      </c>
    </row>
    <row r="12" customFormat="false" ht="15" hidden="false" customHeight="true" outlineLevel="0" collapsed="false">
      <c r="A12" s="33" t="n">
        <v>6</v>
      </c>
      <c r="B12" s="5" t="s">
        <v>445</v>
      </c>
      <c r="C12" s="32" t="s">
        <v>446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447</v>
      </c>
    </row>
    <row r="13" customFormat="false" ht="15" hidden="false" customHeight="true" outlineLevel="0" collapsed="false">
      <c r="A13" s="33" t="n">
        <v>7</v>
      </c>
      <c r="B13" s="5" t="s">
        <v>448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449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450</v>
      </c>
      <c r="H1" s="84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454</v>
      </c>
      <c r="C7" s="32" t="s">
        <v>455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-185</v>
      </c>
      <c r="L7" s="73" t="n">
        <v>0.57</v>
      </c>
      <c r="M7" s="62" t="s">
        <v>456</v>
      </c>
    </row>
    <row r="8" customFormat="false" ht="15" hidden="false" customHeight="true" outlineLevel="0" collapsed="false">
      <c r="A8" s="33" t="n">
        <v>2</v>
      </c>
      <c r="B8" s="5" t="s">
        <v>457</v>
      </c>
      <c r="C8" s="32" t="s">
        <v>458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-175</v>
      </c>
      <c r="L8" s="73" t="n">
        <v>0.54</v>
      </c>
      <c r="M8" s="62" t="s">
        <v>459</v>
      </c>
    </row>
    <row r="9" customFormat="false" ht="15" hidden="false" customHeight="true" outlineLevel="0" collapsed="false">
      <c r="A9" s="33" t="n">
        <v>3</v>
      </c>
      <c r="B9" s="5" t="s">
        <v>460</v>
      </c>
      <c r="C9" s="32" t="s">
        <v>461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90</v>
      </c>
      <c r="J9" s="41" t="n">
        <f aca="false">IF(I9="Win",F9+G9,IF(I9="Push",F9,IF(I9="Loss",0,0)))</f>
        <v>305.454545454546</v>
      </c>
      <c r="K9" s="43" t="n">
        <f aca="false">IF(I9="Pending",0,J9-F9)</f>
        <v>145.454545454546</v>
      </c>
      <c r="L9" s="73" t="n">
        <v>0.55</v>
      </c>
      <c r="M9" s="62" t="s">
        <v>462</v>
      </c>
    </row>
    <row r="10" customFormat="false" ht="15" hidden="false" customHeight="true" outlineLevel="0" collapsed="false">
      <c r="A10" s="33" t="n">
        <v>4</v>
      </c>
      <c r="B10" s="5" t="s">
        <v>463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73" t="n">
        <v>0.54</v>
      </c>
      <c r="M10" s="62" t="s">
        <v>464</v>
      </c>
    </row>
    <row r="11" customFormat="false" ht="15" hidden="false" customHeight="true" outlineLevel="0" collapsed="false">
      <c r="A11" s="33" t="n">
        <v>5</v>
      </c>
      <c r="B11" s="5" t="s">
        <v>465</v>
      </c>
      <c r="C11" s="32" t="s">
        <v>466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90</v>
      </c>
      <c r="J11" s="41" t="n">
        <f aca="false">IF(I11="Win",F11+G11,IF(I11="Push",F11,IF(I11="Loss",0,0)))</f>
        <v>247.692307692308</v>
      </c>
      <c r="K11" s="43" t="n">
        <f aca="false">IF(I11="Pending",0,J11-F11)</f>
        <v>107.692307692308</v>
      </c>
      <c r="L11" s="73" t="n">
        <v>0.58</v>
      </c>
      <c r="M11" s="62" t="s">
        <v>467</v>
      </c>
    </row>
    <row r="12" customFormat="false" ht="15" hidden="false" customHeight="true" outlineLevel="0" collapsed="false">
      <c r="A12" s="33" t="n">
        <v>6</v>
      </c>
      <c r="B12" s="5" t="s">
        <v>468</v>
      </c>
      <c r="C12" s="32" t="s">
        <v>469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-115</v>
      </c>
      <c r="L12" s="73" t="n">
        <v>0.52</v>
      </c>
      <c r="M12" s="62" t="s">
        <v>470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471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0.1</v>
      </c>
      <c r="M13" s="62" t="s">
        <v>472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2026-07-17T09:24:05Z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