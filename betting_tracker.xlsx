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  <sheet xmlns:r="http://schemas.openxmlformats.org/officeDocument/2006/relationships" name="Rugby Jul 18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99" t="n">
        <v>7</v>
      </c>
      <c r="B19" s="100" t="inlineStr">
        <is>
          <t>Rugby Nations Cup — Final Rd</t>
        </is>
      </c>
      <c r="C19" s="99" t="inlineStr">
        <is>
          <t>2026-07-18</t>
        </is>
      </c>
      <c r="D19" s="101" t="inlineStr">
        <is>
          <t>SETTLED</t>
        </is>
      </c>
      <c r="E19" s="102">
        <f>SUM('Rugby Jul 18'!F7:F9)</f>
        <v/>
      </c>
      <c r="F19" s="102">
        <f>SUMIF('Rugby Jul 18'!I7:I9,"Pending",'Rugby Jul 18'!F7:F9)</f>
        <v/>
      </c>
      <c r="G19" s="102">
        <f>SUM('Rugby Jul 18'!J7:J9)</f>
        <v/>
      </c>
      <c r="H19" s="102">
        <f>SUM('Rugby Jul 18'!K7:K9)</f>
        <v/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09" t="n"/>
      <c r="J23" s="109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0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0" t="inlineStr">
        <is>
          <t>🎲 LONGSHOT TRACKER — one per card, hit/miss record</t>
        </is>
      </c>
      <c r="B27" s="98" t="n"/>
      <c r="C27" s="98" t="n"/>
      <c r="D27" s="111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2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3" t="inlineStr">
        <is>
          <t>Test 1 · UFC 329</t>
        </is>
      </c>
      <c r="B29" s="113" t="inlineStr">
        <is>
          <t>McGregor KO/TKO/Sub R1</t>
        </is>
      </c>
      <c r="C29" s="114" t="inlineStr">
        <is>
          <t>+250</t>
        </is>
      </c>
      <c r="D29" s="115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3" t="inlineStr">
        <is>
          <t>Test 3 · MLB Jul 12</t>
        </is>
      </c>
      <c r="B30" s="113" t="inlineStr">
        <is>
          <t>3-leg ML parlay (PIT+CIN+ATH)</t>
        </is>
      </c>
      <c r="C30" s="114" t="inlineStr">
        <is>
          <t>+732</t>
        </is>
      </c>
      <c r="D30" s="115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3" t="inlineStr">
        <is>
          <t>Test 4 · NASCAR Jul 12</t>
        </is>
      </c>
      <c r="B31" s="113" t="inlineStr">
        <is>
          <t>Kyle Larson to win</t>
        </is>
      </c>
      <c r="C31" s="114" t="inlineStr">
        <is>
          <t>+1900</t>
        </is>
      </c>
      <c r="D31" s="115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3" t="inlineStr">
        <is>
          <t>Test 5 · WNBA Jul 12</t>
        </is>
      </c>
      <c r="B32" s="113" t="inlineStr">
        <is>
          <t>4-leg cross-game parlay</t>
        </is>
      </c>
      <c r="C32" s="114" t="inlineStr">
        <is>
          <t>+971</t>
        </is>
      </c>
      <c r="D32" s="115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3" t="inlineStr">
        <is>
          <t>Test 6 · The Open</t>
        </is>
      </c>
      <c r="B33" s="113" t="inlineStr">
        <is>
          <t>Brooks Koepka outright</t>
        </is>
      </c>
      <c r="C33" s="114" t="inlineStr">
        <is>
          <t>+5000</t>
        </is>
      </c>
      <c r="D33" s="115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3" t="inlineStr">
        <is>
          <t>Test 7 · Rugby Jul 18</t>
        </is>
      </c>
      <c r="B34" s="113" t="inlineStr">
        <is>
          <t>Georgia -12.5 + USA -3.5 parlay</t>
        </is>
      </c>
      <c r="C34" s="114" t="inlineStr">
        <is>
          <t>+263</t>
        </is>
      </c>
      <c r="D34" s="115" t="n">
        <v>60</v>
      </c>
      <c r="E34" s="95">
        <f>IF('Rugby Jul 18'!I9="Win","HIT",IF('Rugby Jul 18'!I9="Loss","MISS","Pending"))</f>
        <v/>
      </c>
      <c r="K34" s="85" t="n"/>
      <c r="L34" s="85" t="n"/>
      <c r="M34" s="85" t="n"/>
    </row>
    <row r="35" ht="15" customHeight="1" s="86">
      <c r="A35" s="113" t="inlineStr">
        <is>
          <t>Test 8 · HR Derby</t>
        </is>
      </c>
      <c r="B35" s="113" t="inlineStr">
        <is>
          <t>Willson Contreras outright</t>
        </is>
      </c>
      <c r="C35" s="114" t="inlineStr">
        <is>
          <t>+1400</t>
        </is>
      </c>
      <c r="D35" s="115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3" t="inlineStr">
        <is>
          <t>Test 9 · WNBA Jul 15</t>
        </is>
      </c>
      <c r="B36" s="113" t="inlineStr">
        <is>
          <t>4-leg cross-game parlay</t>
        </is>
      </c>
      <c r="C36" s="114" t="inlineStr">
        <is>
          <t>+1133</t>
        </is>
      </c>
      <c r="D36" s="115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16" t="inlineStr">
        <is>
          <t>TEST 1 — UFC 329: McGREGOR vs HOLLOWAY 2</t>
        </is>
      </c>
      <c r="H1" s="117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Max Holloway ML</t>
        </is>
      </c>
      <c r="C7" s="119" t="inlineStr">
        <is>
          <t>vs Conor McGregor · WW Main Event</t>
        </is>
      </c>
      <c r="D7" s="114" t="inlineStr">
        <is>
          <t>Moneyline</t>
        </is>
      </c>
      <c r="E7" s="120" t="n">
        <v>-265</v>
      </c>
      <c r="F7" s="121" t="n">
        <v>265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play — 78% confidence on card · RESULT: Holloway TKO (McGregor knee injury) R1 1:09</t>
        </is>
      </c>
    </row>
    <row r="8" ht="15" customHeight="1" s="86">
      <c r="A8" s="114" t="n">
        <v>2</v>
      </c>
      <c r="B8" s="118" t="inlineStr">
        <is>
          <t>Holloway by KO/TKO</t>
        </is>
      </c>
      <c r="C8" s="119" t="inlineStr">
        <is>
          <t>vs McGregor · Method of victory</t>
        </is>
      </c>
      <c r="D8" s="114" t="inlineStr">
        <is>
          <t>Prop</t>
        </is>
      </c>
      <c r="E8" s="120" t="n">
        <v>-140</v>
      </c>
      <c r="F8" s="121" t="n">
        <v>200</v>
      </c>
      <c r="G8" s="122">
        <f>IF(E8&gt;0,F8*E8/100,F8*100/ABS(E8))</f>
        <v/>
      </c>
      <c r="H8" s="122">
        <f>F8+G8</f>
        <v/>
      </c>
      <c r="I8" s="123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Card's 'best value' — predicted R3 stoppage · RESULT: Official method TKO — graded Win (injury stoppage; see note)</t>
        </is>
      </c>
    </row>
    <row r="9" ht="15" customHeight="1" s="86">
      <c r="A9" s="114" t="n">
        <v>3</v>
      </c>
      <c r="B9" s="118" t="inlineStr">
        <is>
          <t>Benoît Saint-Denis ML</t>
        </is>
      </c>
      <c r="C9" s="119" t="inlineStr">
        <is>
          <t>vs Paddy Pimblett · LW Co-Main</t>
        </is>
      </c>
      <c r="D9" s="114" t="inlineStr">
        <is>
          <t>Moneyline</t>
        </is>
      </c>
      <c r="E9" s="120" t="n">
        <v>-148</v>
      </c>
      <c r="F9" s="121" t="n">
        <v>148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4 straight stoppage wins · RESULT: Pimblett subbed BSD (D'Arce) R1 0:52</t>
        </is>
      </c>
    </row>
    <row r="10" ht="15" customHeight="1" s="86">
      <c r="A10" s="114" t="n">
        <v>4</v>
      </c>
      <c r="B10" s="118" t="inlineStr">
        <is>
          <t>Mario Bautista ML</t>
        </is>
      </c>
      <c r="C10" s="119" t="inlineStr">
        <is>
          <t>vs Cory Sandhagen · BW</t>
        </is>
      </c>
      <c r="D10" s="114" t="inlineStr">
        <is>
          <t>Moneyline</t>
        </is>
      </c>
      <c r="E10" s="120" t="n">
        <v>114</v>
      </c>
      <c r="F10" s="121" t="n">
        <v>100</v>
      </c>
      <c r="G10" s="122">
        <f>IF(E10&gt;0,F10*E10/100,F10*100/ABS(E10))</f>
        <v/>
      </c>
      <c r="H10" s="122">
        <f>F10+G10</f>
        <v/>
      </c>
      <c r="I10" s="123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10-1 in last 11, underdog value · RESULT: Bautista UD 29-28 x3</t>
        </is>
      </c>
    </row>
    <row r="11" ht="15" customHeight="1" s="86">
      <c r="A11" s="114" t="n">
        <v>5</v>
      </c>
      <c r="B11" s="118" t="inlineStr">
        <is>
          <t>Lone'er Kavanagh ML</t>
        </is>
      </c>
      <c r="C11" s="119" t="inlineStr">
        <is>
          <t>vs Brandon Royval · FLW</t>
        </is>
      </c>
      <c r="D11" s="114" t="inlineStr">
        <is>
          <t>Moneyline</t>
        </is>
      </c>
      <c r="E11" s="120" t="n">
        <v>-218</v>
      </c>
      <c r="F11" s="121" t="n">
        <v>100</v>
      </c>
      <c r="G11" s="122">
        <f>IF(E11&gt;0,F11*E11/100,F11*100/ABS(E11))</f>
        <v/>
      </c>
      <c r="H11" s="122">
        <f>F11+G11</f>
        <v/>
      </c>
      <c r="I11" s="126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Dominated Moreno; market agrees · RESULT: Royval subbed Kavanagh (RNC) R3 3:39</t>
        </is>
      </c>
    </row>
    <row r="12" ht="15" customHeight="1" s="86">
      <c r="A12" s="114" t="n">
        <v>6</v>
      </c>
      <c r="B12" s="118" t="inlineStr">
        <is>
          <t>Robert Whittaker ML</t>
        </is>
      </c>
      <c r="C12" s="119" t="inlineStr">
        <is>
          <t>vs Nikita Krylov · LHW (prelim)</t>
        </is>
      </c>
      <c r="D12" s="114" t="inlineStr">
        <is>
          <t>Moneyline</t>
        </is>
      </c>
      <c r="E12" s="120" t="n">
        <v>-125</v>
      </c>
      <c r="F12" s="121" t="n">
        <v>75</v>
      </c>
      <c r="G12" s="122">
        <f>IF(E12&gt;0,F12*E12/100,F12*100/ABS(E12))</f>
        <v/>
      </c>
      <c r="H12" s="122">
        <f>F12+G12</f>
        <v/>
      </c>
      <c r="I12" s="123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Slight edge at near-even price · RESULT: Whittaker KO (punch) R3 1:01</t>
        </is>
      </c>
    </row>
    <row r="13" ht="15" customHeight="1" s="86">
      <c r="A13" s="114" t="n">
        <v>7</v>
      </c>
      <c r="B13" s="118" t="inlineStr">
        <is>
          <t>Luke Riley ML</t>
        </is>
      </c>
      <c r="C13" s="119" t="inlineStr">
        <is>
          <t>vs Kamaka III · FW (prelim)</t>
        </is>
      </c>
      <c r="D13" s="114" t="inlineStr">
        <is>
          <t>Moneyline</t>
        </is>
      </c>
      <c r="E13" s="120" t="n">
        <v>-225</v>
      </c>
      <c r="F13" s="121" t="n">
        <v>50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Unbeaten prospect · RESULT: Riley TKO R1 3:03</t>
        </is>
      </c>
    </row>
    <row r="14" ht="15" customHeight="1" s="86">
      <c r="A14" s="114" t="n">
        <v>8</v>
      </c>
      <c r="B14" s="118" t="inlineStr">
        <is>
          <t>Damian Pinas ML</t>
        </is>
      </c>
      <c r="C14" s="119" t="inlineStr">
        <is>
          <t>vs Cesar Almeida · MW (early prelim)</t>
        </is>
      </c>
      <c r="D14" s="114" t="inlineStr">
        <is>
          <t>Moneyline</t>
        </is>
      </c>
      <c r="E14" s="120" t="n">
        <v>-258</v>
      </c>
      <c r="F14" s="121" t="n">
        <v>62</v>
      </c>
      <c r="G14" s="122">
        <f>IF(E14&gt;0,F14*E14/100,F14*100/ABS(E14))</f>
        <v/>
      </c>
      <c r="H14" s="122">
        <f>F14+G14</f>
        <v/>
      </c>
      <c r="I14" s="123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25" t="inlineStr">
        <is>
          <t>5-fight KO streak, 5.5" reach edge · RESULT: Pinas KO (punch) R1 4:44</t>
        </is>
      </c>
    </row>
    <row r="15" ht="15" customHeight="1" s="86">
      <c r="A15" s="114" t="n">
        <v>9</v>
      </c>
      <c r="B15" s="118" t="inlineStr">
        <is>
          <t>3-Leg Parlay</t>
        </is>
      </c>
      <c r="C15" s="119" t="inlineStr">
        <is>
          <t>Holloway KO/TKO + Saint-Denis ML + Bautista ML</t>
        </is>
      </c>
      <c r="D15" s="114" t="inlineStr">
        <is>
          <t>Parlay</t>
        </is>
      </c>
      <c r="E15" s="120" t="n">
        <v>443</v>
      </c>
      <c r="F15" s="121" t="n">
        <v>50</v>
      </c>
      <c r="G15" s="122">
        <f>IF(E15&gt;0,F15*E15/100,F15*100/ABS(E15))</f>
        <v/>
      </c>
      <c r="H15" s="122">
        <f>F15+G15</f>
        <v/>
      </c>
      <c r="I15" s="126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25" t="inlineStr">
        <is>
          <t>Bonus play — combined ≈ +443 · RESULT: Parlay dead — Saint-Denis leg lost (other 2 legs won)</t>
        </is>
      </c>
    </row>
    <row r="16" ht="15" customHeight="1" s="86">
      <c r="A16" s="127" t="n"/>
      <c r="B16" s="128" t="inlineStr">
        <is>
          <t>TOTALS</t>
        </is>
      </c>
      <c r="C16" s="127" t="n"/>
      <c r="D16" s="127" t="n"/>
      <c r="E16" s="127" t="n"/>
      <c r="F16" s="129">
        <f>SUM(F7:F15)</f>
        <v/>
      </c>
      <c r="G16" s="130">
        <f>SUM(G7:G15)</f>
        <v/>
      </c>
      <c r="H16" s="130">
        <f>SUM(H7:H15)</f>
        <v/>
      </c>
      <c r="I16" s="127" t="n"/>
      <c r="J16" s="130">
        <f>SUM(J7:J15)</f>
        <v/>
      </c>
      <c r="K16" s="131">
        <f>SUM(K7:K15)</f>
        <v/>
      </c>
      <c r="L16" s="127" t="n"/>
    </row>
    <row r="18" ht="15" customHeight="1" s="86">
      <c r="B18" s="89" t="inlineStr">
        <is>
          <t>SCORECARD</t>
        </is>
      </c>
    </row>
    <row r="19" ht="15" customHeight="1" s="86">
      <c r="B19" s="118" t="inlineStr">
        <is>
          <t>Wins</t>
        </is>
      </c>
      <c r="C19" s="132">
        <f>COUNTIF(I7:I15,"Win")</f>
        <v/>
      </c>
    </row>
    <row r="20" ht="15" customHeight="1" s="86">
      <c r="B20" s="118" t="inlineStr">
        <is>
          <t>Losses</t>
        </is>
      </c>
      <c r="C20" s="132">
        <f>COUNTIF(I7:I15,"Loss")</f>
        <v/>
      </c>
    </row>
    <row r="21" ht="15" customHeight="1" s="86">
      <c r="B21" s="118" t="inlineStr">
        <is>
          <t>Pushes</t>
        </is>
      </c>
      <c r="C21" s="132">
        <f>COUNTIF(I7:I15,"Push")</f>
        <v/>
      </c>
    </row>
    <row r="22" ht="15" customHeight="1" s="86">
      <c r="B22" s="118" t="inlineStr">
        <is>
          <t>Pending</t>
        </is>
      </c>
      <c r="C22" s="132">
        <f>COUNTIF(I7:I15,"Pending")</f>
        <v/>
      </c>
    </row>
    <row r="23" ht="15" customHeight="1" s="86">
      <c r="B23" s="118" t="inlineStr">
        <is>
          <t>Hit Rate</t>
        </is>
      </c>
      <c r="C23" s="133">
        <f>IF(COUNTIF(I7:I15,"Win")+COUNTIF(I7:I15,"Loss")=0,"—",COUNTIF(I7:I15,"Win")/(COUNTIF(I7:I15,"Win")+COUNTIF(I7:I15,"Loss")))</f>
        <v/>
      </c>
    </row>
    <row r="24" ht="15" customHeight="1" s="86">
      <c r="B24" s="118" t="inlineStr">
        <is>
          <t>Total Staked</t>
        </is>
      </c>
      <c r="C24" s="115">
        <f>SUM(F7:F15)</f>
        <v/>
      </c>
    </row>
    <row r="25" ht="15" customHeight="1" s="86">
      <c r="B25" s="118" t="inlineStr">
        <is>
          <t>Total Returned</t>
        </is>
      </c>
      <c r="C25" s="122">
        <f>SUM(J7:J15)</f>
        <v/>
      </c>
    </row>
    <row r="26" ht="15" customHeight="1" s="86">
      <c r="B26" s="118" t="inlineStr">
        <is>
          <t>Net P/L</t>
        </is>
      </c>
      <c r="C26" s="124">
        <f>SUM(K7:K15)</f>
        <v/>
      </c>
    </row>
    <row r="27" ht="15" customHeight="1" s="86">
      <c r="B27" s="118" t="inlineStr">
        <is>
          <t>ROI</t>
        </is>
      </c>
      <c r="C27" s="133">
        <f>IF(SUM(F7:F15)=0,"—",SUM(K7:K15)/SUM(F7:F15))</f>
        <v/>
      </c>
    </row>
    <row r="28" ht="15" customHeight="1" s="86">
      <c r="B28" s="118" t="inlineStr">
        <is>
          <t>Max Return (all hit)</t>
        </is>
      </c>
      <c r="C28" s="122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4" t="n">
        <v>1</v>
      </c>
      <c r="B32" s="118" t="inlineStr">
        <is>
          <t>Terrance McKinney vs King Green</t>
        </is>
      </c>
      <c r="C32" s="125" t="inlineStr">
        <is>
          <t>Skip — coin flip, line too short for juice</t>
        </is>
      </c>
      <c r="D32" s="134" t="inlineStr">
        <is>
          <t>-115</t>
        </is>
      </c>
      <c r="E32" s="135" t="inlineStr">
        <is>
          <t>King Green (TKO R1)</t>
        </is>
      </c>
      <c r="F32" s="135" t="inlineStr">
        <is>
          <t>GOOD SKIP — McKinney side lost</t>
        </is>
      </c>
    </row>
    <row r="33" ht="15" customHeight="1" s="86">
      <c r="A33" s="114" t="n">
        <v>2</v>
      </c>
      <c r="B33" s="118" t="inlineStr">
        <is>
          <t>Gable Steveson vs Ellison</t>
        </is>
      </c>
      <c r="C33" s="125" t="inlineStr">
        <is>
          <t>Skip — -1450 juice, no payout worth risk</t>
        </is>
      </c>
      <c r="D33" s="134" t="inlineStr">
        <is>
          <t>-1450</t>
        </is>
      </c>
      <c r="E33" s="135" t="inlineStr">
        <is>
          <t>Steveson (TKO R1)</t>
        </is>
      </c>
      <c r="F33" s="135" t="inlineStr">
        <is>
          <t>Good skip — won but -1450 payout tiny</t>
        </is>
      </c>
    </row>
    <row r="34" ht="15" customHeight="1" s="86">
      <c r="A34" s="114" t="n">
        <v>3</v>
      </c>
      <c r="B34" s="118" t="inlineStr">
        <is>
          <t>Adrian Yanez vs Cody Garbrandt</t>
        </is>
      </c>
      <c r="C34" s="125" t="inlineStr">
        <is>
          <t>Skip — -425 too juiced; Garbrandt KO risk</t>
        </is>
      </c>
      <c r="D34" s="134" t="inlineStr">
        <is>
          <t>-425</t>
        </is>
      </c>
      <c r="E34" s="135" t="inlineStr">
        <is>
          <t>Yanez (TKO R1)</t>
        </is>
      </c>
      <c r="F34" s="135" t="inlineStr">
        <is>
          <t>Fair skip — won, but -425 risk was real</t>
        </is>
      </c>
    </row>
    <row r="35" ht="15" customHeight="1" s="86">
      <c r="A35" s="114" t="n">
        <v>4</v>
      </c>
      <c r="B35" s="118" t="inlineStr">
        <is>
          <t>Farid Basharat vs Garza</t>
        </is>
      </c>
      <c r="C35" s="125" t="inlineStr">
        <is>
          <t>Skip — -675 unplayable juice</t>
        </is>
      </c>
      <c r="D35" s="134" t="inlineStr">
        <is>
          <t>-675</t>
        </is>
      </c>
      <c r="E35" s="135" t="inlineStr">
        <is>
          <t>Basharat (UD)</t>
        </is>
      </c>
      <c r="F35" s="135" t="inlineStr">
        <is>
          <t>Fair skip — won at -675, tiny payout</t>
        </is>
      </c>
    </row>
    <row r="36" ht="15" customHeight="1" s="86">
      <c r="A36" s="114" t="n">
        <v>5</v>
      </c>
      <c r="B36" s="118" t="inlineStr">
        <is>
          <t>Wang Cong vs Tracy Cortez</t>
        </is>
      </c>
      <c r="C36" s="125" t="inlineStr">
        <is>
          <t>Skip — true pick'em</t>
        </is>
      </c>
      <c r="D36" s="134" t="inlineStr">
        <is>
          <t>-118</t>
        </is>
      </c>
      <c r="E36" s="135" t="inlineStr">
        <is>
          <t>Wang Cong (UD)</t>
        </is>
      </c>
      <c r="F36" s="135" t="inlineStr">
        <is>
          <t>Neutral — true pick'em, no lean</t>
        </is>
      </c>
    </row>
    <row r="37" ht="15" customHeight="1" s="86">
      <c r="A37" s="114" t="n">
        <v>6</v>
      </c>
      <c r="B37" s="118" t="inlineStr">
        <is>
          <t>McGregor KO/TKO/Sub R1 (longshot)</t>
        </is>
      </c>
      <c r="C37" s="125" t="inlineStr">
        <is>
          <t>$0 stake — flagged as fun play only at +250</t>
        </is>
      </c>
      <c r="D37" s="134" t="inlineStr">
        <is>
          <t>+250</t>
        </is>
      </c>
      <c r="E37" s="135" t="inlineStr">
        <is>
          <t>Did not hit — McGregor lost R1</t>
        </is>
      </c>
      <c r="F37" s="135" t="inlineStr">
        <is>
          <t>GOOD $0 — would have lost stake</t>
        </is>
      </c>
    </row>
    <row r="39" ht="15" customHeight="1" s="86">
      <c r="A39" s="136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36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36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16" t="inlineStr">
        <is>
          <t>TEST 2 — FIFA WORLD CUP 2026: THE FINAL FOUR</t>
        </is>
      </c>
      <c r="H1" s="137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France to Advance to Final</t>
        </is>
      </c>
      <c r="C7" s="119" t="inlineStr">
        <is>
          <t>vs Spain · SF1 · Tue Jul 14 (incl. ET/pens)</t>
        </is>
      </c>
      <c r="D7" s="114" t="inlineStr">
        <is>
          <t>To Advance</t>
        </is>
      </c>
      <c r="E7" s="120" t="n">
        <v>-144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— 62% confidence, most complete squad left · RESULT: Spain 2-0 France — France out, ticket dead</t>
        </is>
      </c>
    </row>
    <row r="8" ht="15" customHeight="1" s="86">
      <c r="A8" s="114" t="n">
        <v>2</v>
      </c>
      <c r="B8" s="118" t="inlineStr">
        <is>
          <t>France vs Spain Under 2.5 (90')</t>
        </is>
      </c>
      <c r="C8" s="119" t="inlineStr">
        <is>
          <t>SF1 total goals</t>
        </is>
      </c>
      <c r="D8" s="114" t="inlineStr">
        <is>
          <t>Total</t>
        </is>
      </c>
      <c r="E8" s="120" t="n">
        <v>-122</v>
      </c>
      <c r="F8" s="121" t="n">
        <v>120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Spain 1 GA all tournament; France 0 GA in knockouts · RESULT: 2 goals in the match — under 2.5 cashes</t>
        </is>
      </c>
    </row>
    <row r="9" ht="15" customHeight="1" s="86">
      <c r="A9" s="114" t="n">
        <v>3</v>
      </c>
      <c r="B9" s="118" t="inlineStr">
        <is>
          <t>Argentina ML (90 min)</t>
        </is>
      </c>
      <c r="C9" s="119" t="inlineStr">
        <is>
          <t>vs England · SF2 · Wed Jul 15, Atlanta</t>
        </is>
      </c>
      <c r="D9" s="114" t="inlineStr">
        <is>
          <t>3-Way ML</t>
        </is>
      </c>
      <c r="E9" s="120" t="n">
        <v>175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4" t="n">
        <v>4</v>
      </c>
      <c r="B10" s="118" t="inlineStr">
        <is>
          <t>Argentina vs England Draw (90')</t>
        </is>
      </c>
      <c r="C10" s="119" t="inlineStr">
        <is>
          <t>SF2 · pairs with Arg ML</t>
        </is>
      </c>
      <c r="D10" s="114" t="inlineStr">
        <is>
          <t>3-Way ML</t>
        </is>
      </c>
      <c r="E10" s="120" t="n">
        <v>205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Structured: only England 90' win beats both tickets · RESULT: decided in regulation, no draw — ticket dead</t>
        </is>
      </c>
    </row>
    <row r="11" ht="15" customHeight="1" s="86">
      <c r="A11" s="114" t="n">
        <v>5</v>
      </c>
      <c r="B11" s="118" t="inlineStr">
        <is>
          <t>France to Win World Cup</t>
        </is>
      </c>
      <c r="C11" s="119" t="inlineStr">
        <is>
          <t>Outright · Final Jul 19</t>
        </is>
      </c>
      <c r="D11" s="114" t="inlineStr">
        <is>
          <t>Outright</t>
        </is>
      </c>
      <c r="E11" s="120" t="n">
        <v>160</v>
      </c>
      <c r="F11" s="121" t="n">
        <v>250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4" t="n">
        <v>6</v>
      </c>
      <c r="B12" s="118" t="inlineStr">
        <is>
          <t>England to Win World Cup</t>
        </is>
      </c>
      <c r="C12" s="119" t="inlineStr">
        <is>
          <t>Outright · hedge ticket</t>
        </is>
      </c>
      <c r="D12" s="114" t="inlineStr">
        <is>
          <t>Outright</t>
        </is>
      </c>
      <c r="E12" s="120" t="n">
        <v>500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4" t="n">
        <v>7</v>
      </c>
      <c r="B13" s="118" t="inlineStr">
        <is>
          <t>2-Leg Parlay</t>
        </is>
      </c>
      <c r="C13" s="119" t="inlineStr">
        <is>
          <t>France to Advance (-144) + Arg/Eng U2.5 (-155)</t>
        </is>
      </c>
      <c r="D13" s="114" t="inlineStr">
        <is>
          <t>Parlay</t>
        </is>
      </c>
      <c r="E13" s="120" t="n">
        <v>179</v>
      </c>
      <c r="F13" s="121" t="n">
        <v>50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Chalk + under · combined ≈ +179 · RESULT: France to Advance leg dead (and Arg-Eng went over 2.5) — parlay dead</t>
        </is>
      </c>
    </row>
    <row r="14" ht="15" customHeight="1" s="86">
      <c r="A14" s="127" t="n"/>
      <c r="B14" s="128" t="inlineStr">
        <is>
          <t>TOTALS</t>
        </is>
      </c>
      <c r="C14" s="127" t="n"/>
      <c r="D14" s="127" t="n"/>
      <c r="E14" s="127" t="n"/>
      <c r="F14" s="129">
        <f>SUM(F7:F13)</f>
        <v/>
      </c>
      <c r="G14" s="130">
        <f>SUM(G7:G13)</f>
        <v/>
      </c>
      <c r="H14" s="130">
        <f>SUM(H7:H13)</f>
        <v/>
      </c>
      <c r="I14" s="127" t="n"/>
      <c r="J14" s="130">
        <f>SUM(J7:J13)</f>
        <v/>
      </c>
      <c r="K14" s="131">
        <f>SUM(K7:K13)</f>
        <v/>
      </c>
      <c r="L14" s="127" t="n"/>
    </row>
    <row r="16" ht="15" customHeight="1" s="86">
      <c r="B16" s="89" t="inlineStr">
        <is>
          <t>SCORECARD</t>
        </is>
      </c>
    </row>
    <row r="17" ht="15" customHeight="1" s="86">
      <c r="B17" s="118" t="inlineStr">
        <is>
          <t>Wins</t>
        </is>
      </c>
      <c r="C17" s="132">
        <f>COUNTIF(I7:I13,"Win")</f>
        <v/>
      </c>
    </row>
    <row r="18" ht="15" customHeight="1" s="86">
      <c r="B18" s="118" t="inlineStr">
        <is>
          <t>Losses</t>
        </is>
      </c>
      <c r="C18" s="132">
        <f>COUNTIF(I7:I13,"Loss")</f>
        <v/>
      </c>
    </row>
    <row r="19" ht="15" customHeight="1" s="86">
      <c r="B19" s="118" t="inlineStr">
        <is>
          <t>Pushes</t>
        </is>
      </c>
      <c r="C19" s="132">
        <f>COUNTIF(I7:I13,"Push")</f>
        <v/>
      </c>
    </row>
    <row r="20" ht="15" customHeight="1" s="86">
      <c r="B20" s="118" t="inlineStr">
        <is>
          <t>Pending</t>
        </is>
      </c>
      <c r="C20" s="132">
        <f>COUNTIF(I7:I13,"Pending")</f>
        <v/>
      </c>
    </row>
    <row r="21" ht="15" customHeight="1" s="86">
      <c r="B21" s="118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118" t="inlineStr">
        <is>
          <t>Total Staked</t>
        </is>
      </c>
      <c r="C22" s="115">
        <f>SUM(F7:F13)</f>
        <v/>
      </c>
    </row>
    <row r="23" ht="15" customHeight="1" s="86">
      <c r="B23" s="118" t="inlineStr">
        <is>
          <t>Total Returned</t>
        </is>
      </c>
      <c r="C23" s="122">
        <f>SUM(J7:J13)</f>
        <v/>
      </c>
    </row>
    <row r="24" ht="15" customHeight="1" s="86">
      <c r="B24" s="118" t="inlineStr">
        <is>
          <t>Net P/L</t>
        </is>
      </c>
      <c r="C24" s="124">
        <f>SUM(K7:K13)</f>
        <v/>
      </c>
    </row>
    <row r="25" ht="15" customHeight="1" s="86">
      <c r="B25" s="118" t="inlineStr">
        <is>
          <t>ROI</t>
        </is>
      </c>
      <c r="C25" s="133">
        <f>IF(SUM(F7:F13)=0,"—",SUM(K7:K13)/SUM(F7:F13))</f>
        <v/>
      </c>
    </row>
    <row r="26" ht="15" customHeight="1" s="86">
      <c r="B26" s="118" t="inlineStr">
        <is>
          <t>Best-Case P/L (hedged book)</t>
        </is>
      </c>
      <c r="C26" s="115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4" t="n">
        <v>1</v>
      </c>
      <c r="B30" s="118" t="inlineStr">
        <is>
          <t>Spain to Win World Cup</t>
        </is>
      </c>
      <c r="C30" s="125" t="inlineStr">
        <is>
          <t>Skip — book implies 25% vs Kalshi 17%; worst price on board</t>
        </is>
      </c>
      <c r="D30" s="134" t="inlineStr">
        <is>
          <t>+300</t>
        </is>
      </c>
      <c r="E30" s="138" t="n"/>
      <c r="F30" s="138" t="n"/>
    </row>
    <row r="31" ht="15" customHeight="1" s="86">
      <c r="A31" s="114" t="n">
        <v>2</v>
      </c>
      <c r="B31" s="118" t="inlineStr">
        <is>
          <t>Argentina to Win World Cup</t>
        </is>
      </c>
      <c r="C31" s="125" t="inlineStr">
        <is>
          <t>Skip — fair price but doubles Arg ML exposure</t>
        </is>
      </c>
      <c r="D31" s="134" t="inlineStr">
        <is>
          <t>+400</t>
        </is>
      </c>
      <c r="E31" s="138" t="n"/>
      <c r="F31" s="138" t="n"/>
    </row>
    <row r="32" ht="15" customHeight="1" s="86">
      <c r="A32" s="114" t="n">
        <v>3</v>
      </c>
      <c r="B32" s="118" t="inlineStr">
        <is>
          <t>England ML 90' (vs Argentina)</t>
        </is>
      </c>
      <c r="C32" s="125" t="inlineStr">
        <is>
          <t>Skip — took the Arg/Draw structure instead</t>
        </is>
      </c>
      <c r="D32" s="134" t="inlineStr">
        <is>
          <t>+180</t>
        </is>
      </c>
      <c r="E32" s="138" t="n"/>
      <c r="F32" s="138" t="n"/>
    </row>
    <row r="33" ht="15" customHeight="1" s="86">
      <c r="A33" s="114" t="n">
        <v>4</v>
      </c>
      <c r="B33" s="118" t="inlineStr">
        <is>
          <t>France ML 90' (vs Spain)</t>
        </is>
      </c>
      <c r="C33" s="125" t="inlineStr">
        <is>
          <t>Skip — to-advance line covers the ET/pens path</t>
        </is>
      </c>
      <c r="D33" s="134" t="inlineStr">
        <is>
          <t>+130</t>
        </is>
      </c>
      <c r="E33" s="138" t="n"/>
      <c r="F33" s="138" t="n"/>
    </row>
    <row r="35" ht="15" customHeight="1" s="86">
      <c r="A35" s="136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3 — MLB SUNDAY SLATE · JULY 12, 2026</t>
        </is>
      </c>
      <c r="H1" s="117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118" t="inlineStr">
        <is>
          <t>Giants ML</t>
        </is>
      </c>
      <c r="C7" s="119" t="inlineStr">
        <is>
          <t>vs Rockies · McDonald vs Lorenzen (6.46 ERA)</t>
        </is>
      </c>
      <c r="D7" s="114" t="inlineStr">
        <is>
          <t>Moneyline</t>
        </is>
      </c>
      <c r="E7" s="120" t="n">
        <v>-155</v>
      </c>
      <c r="F7" s="121" t="n">
        <v>200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0.62</v>
      </c>
      <c r="M7" s="125" t="inlineStr">
        <is>
          <t>Safest play — Lorenzen 1.4 HR/9, Rockies worst road team · RESULT: SF 3-1 · Lorenzen fade lands</t>
        </is>
      </c>
    </row>
    <row r="8" ht="15" customHeight="1" s="86">
      <c r="A8" s="114" t="n">
        <v>2</v>
      </c>
      <c r="B8" s="118" t="inlineStr">
        <is>
          <t>Athletics ML</t>
        </is>
      </c>
      <c r="C8" s="119" t="inlineStr">
        <is>
          <t>@ White Sox · Ginn (2.49 road ERA) vs Schultz (5.4 BB/9)</t>
        </is>
      </c>
      <c r="D8" s="114" t="inlineStr">
        <is>
          <t>Moneyline</t>
        </is>
      </c>
      <c r="E8" s="120" t="n">
        <v>-104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0.54</v>
      </c>
      <c r="M8" s="125" t="inlineStr">
        <is>
          <t>Clearest starter mismatch priced near even · RESULT: CWS 9-1 · Ginn 8 ER in 4.1, six-run 1st</t>
        </is>
      </c>
    </row>
    <row r="9" ht="15" customHeight="1" s="86">
      <c r="A9" s="114" t="n">
        <v>3</v>
      </c>
      <c r="B9" s="118" t="inlineStr">
        <is>
          <t>Tigers ML</t>
        </is>
      </c>
      <c r="C9" s="119" t="inlineStr">
        <is>
          <t>vs Phillies · Skubal vs Wheeler ace duel</t>
        </is>
      </c>
      <c r="D9" s="114" t="inlineStr">
        <is>
          <t>Moneyline</t>
        </is>
      </c>
      <c r="E9" s="120" t="n">
        <v>-115</v>
      </c>
      <c r="F9" s="121" t="n">
        <v>150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0.55</v>
      </c>
      <c r="M9" s="125" t="inlineStr">
        <is>
          <t>Bullpen edge: DET 3.10 ERA (3rd) vs PHI 5.41 (26th) since Jun 1 · RESULT: PHI 5-0 · Wheeler 10 K shutout; pen edge moot</t>
        </is>
      </c>
    </row>
    <row r="10" ht="15" customHeight="1" s="86">
      <c r="A10" s="114" t="n">
        <v>4</v>
      </c>
      <c r="B10" s="118" t="inlineStr">
        <is>
          <t>Royals @ Orioles Under 9.5</t>
        </is>
      </c>
      <c r="C10" s="119" t="inlineStr">
        <is>
          <t>Totals · Lugo vs Baz</t>
        </is>
      </c>
      <c r="D10" s="114" t="inlineStr">
        <is>
          <t>Total</t>
        </is>
      </c>
      <c r="E10" s="120" t="n">
        <v>-114</v>
      </c>
      <c r="F10" s="121" t="n">
        <v>120</v>
      </c>
      <c r="G10" s="122">
        <f>IF(E10&gt;0,F10*E10/100,F10*100/ABS(E10))</f>
        <v/>
      </c>
      <c r="H10" s="122">
        <f>F10+G10</f>
        <v/>
      </c>
      <c r="I10" s="126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25" t="inlineStr">
        <is>
          <t>KC last in road scoring 3.8 R/G; Baz 3.78 FIP · RESULT: BAL 8-2 · 10 combined runs, over by half a run</t>
        </is>
      </c>
    </row>
    <row r="11" ht="15" customHeight="1" s="86">
      <c r="A11" s="114" t="n">
        <v>5</v>
      </c>
      <c r="B11" s="118" t="inlineStr">
        <is>
          <t>Pirates ML</t>
        </is>
      </c>
      <c r="C11" s="119" t="inlineStr">
        <is>
          <t>vs Brewers · Skenes (2.98 FIP) at home</t>
        </is>
      </c>
      <c r="D11" s="114" t="inlineStr">
        <is>
          <t>Moneyline</t>
        </is>
      </c>
      <c r="E11" s="120" t="n">
        <v>104</v>
      </c>
      <c r="F11" s="121" t="n">
        <v>130</v>
      </c>
      <c r="G11" s="122">
        <f>IF(E11&gt;0,F11*E11/100,F11*100/ABS(E11))</f>
        <v/>
      </c>
      <c r="H11" s="122">
        <f>F11+G11</f>
        <v/>
      </c>
      <c r="I11" s="123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0.52</v>
      </c>
      <c r="M11" s="125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4" t="n">
        <v>6</v>
      </c>
      <c r="B12" s="118" t="inlineStr">
        <is>
          <t>Reds ML</t>
        </is>
      </c>
      <c r="C12" s="119" t="inlineStr">
        <is>
          <t>vs Cubs · Abbott ≤3 ER in 14 straight starts</t>
        </is>
      </c>
      <c r="D12" s="114" t="inlineStr">
        <is>
          <t>Moneyline</t>
        </is>
      </c>
      <c r="E12" s="120" t="n">
        <v>108</v>
      </c>
      <c r="F12" s="121" t="n">
        <v>100</v>
      </c>
      <c r="G12" s="122">
        <f>IF(E12&gt;0,F12*E12/100,F12*100/ABS(E12))</f>
        <v/>
      </c>
      <c r="H12" s="122">
        <f>F12+G12</f>
        <v/>
      </c>
      <c r="I12" s="126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</v>
      </c>
      <c r="M12" s="125" t="inlineStr">
        <is>
          <t>Home dog with the more reliable starter · RESULT: CHC 8-4 · home-dog value didn't land</t>
        </is>
      </c>
    </row>
    <row r="13" ht="15" customHeight="1" s="86">
      <c r="A13" s="114" t="n">
        <v>7</v>
      </c>
      <c r="B13" s="118" t="inlineStr">
        <is>
          <t>Mariners ML</t>
        </is>
      </c>
      <c r="C13" s="119" t="inlineStr">
        <is>
          <t>@ Rays · Hancock 3.23 vs Seymour 4.11</t>
        </is>
      </c>
      <c r="D13" s="114" t="inlineStr">
        <is>
          <t>Moneyline</t>
        </is>
      </c>
      <c r="E13" s="120" t="n">
        <v>108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0.5</v>
      </c>
      <c r="M13" s="125" t="inlineStr">
        <is>
          <t>Seymour's 6-1 record masks a 4.11 ERA · RESULT: SEA 8-2 · Crawford 3 RBI; pen covered Hancock's exit</t>
        </is>
      </c>
    </row>
    <row r="14" ht="15" customHeight="1" s="86">
      <c r="A14" s="114" t="n">
        <v>8</v>
      </c>
      <c r="B14" s="118" t="inlineStr">
        <is>
          <t>Longshot: 3-Leg ML Parlay</t>
        </is>
      </c>
      <c r="C14" s="119" t="inlineStr">
        <is>
          <t>Pirates ML +104 / Reds ML +108 / Athletics ML -104</t>
        </is>
      </c>
      <c r="D14" s="114" t="inlineStr">
        <is>
          <t>Parlay</t>
        </is>
      </c>
      <c r="E14" s="120" t="n">
        <v>732</v>
      </c>
      <c r="F14" s="121" t="n">
        <v>50</v>
      </c>
      <c r="G14" s="122">
        <f>IF(E14&gt;0,F14*E14/100,F14*100/ABS(E14))</f>
        <v/>
      </c>
      <c r="H14" s="122">
        <f>F14+G14</f>
        <v/>
      </c>
      <c r="I14" s="126" t="inlineStr">
        <is>
          <t>Loss</t>
        </is>
      </c>
      <c r="J14" s="122">
        <f>IF(I14="Win",F14+G14,IF(I14="Push",F14,IF(I14="Loss",0,0)))</f>
        <v/>
      </c>
      <c r="K14" s="124">
        <f>IF(I14="Pending",0,J14-F14)</f>
        <v/>
      </c>
      <c r="L14" s="139" t="n">
        <v>0.14</v>
      </c>
      <c r="M14" s="125" t="inlineStr">
        <is>
          <t>The mandatory longshot — stacks our three value legs · RESULT: Parlay dead — Reds &amp; A's legs lost (PIT leg won)</t>
        </is>
      </c>
    </row>
    <row r="15" ht="15" customHeight="1" s="86">
      <c r="A15" s="127" t="n"/>
      <c r="B15" s="128" t="inlineStr">
        <is>
          <t>TOTALS</t>
        </is>
      </c>
      <c r="C15" s="127" t="n"/>
      <c r="D15" s="127" t="n"/>
      <c r="E15" s="127" t="n"/>
      <c r="F15" s="129">
        <f>SUM(F7:F14)</f>
        <v/>
      </c>
      <c r="G15" s="130">
        <f>SUM(G7:G14)</f>
        <v/>
      </c>
      <c r="H15" s="130">
        <f>SUM(H7:H14)</f>
        <v/>
      </c>
      <c r="I15" s="127" t="n"/>
      <c r="J15" s="130">
        <f>SUM(J7:J14)</f>
        <v/>
      </c>
      <c r="K15" s="131">
        <f>SUM(K7:K14)</f>
        <v/>
      </c>
      <c r="L15" s="140">
        <f>SUM(L7:L14)</f>
        <v/>
      </c>
      <c r="M15" s="127" t="n"/>
    </row>
    <row r="17" ht="15" customHeight="1" s="86">
      <c r="B17" s="89" t="inlineStr">
        <is>
          <t>SCORECARD</t>
        </is>
      </c>
    </row>
    <row r="18" ht="15" customHeight="1" s="86">
      <c r="B18" s="118" t="inlineStr">
        <is>
          <t>Wins</t>
        </is>
      </c>
      <c r="C18" s="132">
        <f>COUNTIF(I7:I14,"Win")</f>
        <v/>
      </c>
    </row>
    <row r="19" ht="15" customHeight="1" s="86">
      <c r="B19" s="118" t="inlineStr">
        <is>
          <t>Losses</t>
        </is>
      </c>
      <c r="C19" s="132">
        <f>COUNTIF(I7:I14,"Loss")</f>
        <v/>
      </c>
    </row>
    <row r="20" ht="15" customHeight="1" s="86">
      <c r="B20" s="118" t="inlineStr">
        <is>
          <t>Pushes</t>
        </is>
      </c>
      <c r="C20" s="132">
        <f>COUNTIF(I7:I14,"Push")</f>
        <v/>
      </c>
    </row>
    <row r="21" ht="15" customHeight="1" s="86">
      <c r="B21" s="118" t="inlineStr">
        <is>
          <t>Pending</t>
        </is>
      </c>
      <c r="C21" s="132">
        <f>COUNTIF(I7:I14,"Pending")</f>
        <v/>
      </c>
    </row>
    <row r="22" ht="15" customHeight="1" s="86">
      <c r="B22" s="118" t="inlineStr">
        <is>
          <t>Hit Rate</t>
        </is>
      </c>
      <c r="C22" s="133">
        <f>IF(COUNTIF(I7:I14,"Win")+COUNTIF(I7:I14,"Loss")=0,"—",COUNTIF(I7:I14,"Win")/(COUNTIF(I7:I14,"Win")+COUNTIF(I7:I14,"Loss")))</f>
        <v/>
      </c>
    </row>
    <row r="23" ht="15" customHeight="1" s="86">
      <c r="B23" s="118" t="inlineStr">
        <is>
          <t>Total Staked</t>
        </is>
      </c>
      <c r="C23" s="115">
        <f>SUM(F7:F14)</f>
        <v/>
      </c>
    </row>
    <row r="24" ht="15" customHeight="1" s="86">
      <c r="B24" s="118" t="inlineStr">
        <is>
          <t>Total Returned</t>
        </is>
      </c>
      <c r="C24" s="122">
        <f>SUM(J7:J14)</f>
        <v/>
      </c>
    </row>
    <row r="25" ht="15" customHeight="1" s="86">
      <c r="B25" s="118" t="inlineStr">
        <is>
          <t>Net P/L</t>
        </is>
      </c>
      <c r="C25" s="124">
        <f>SUM(K7:K14)</f>
        <v/>
      </c>
    </row>
    <row r="26" ht="15" customHeight="1" s="86">
      <c r="B26" s="118" t="inlineStr">
        <is>
          <t>ROI</t>
        </is>
      </c>
      <c r="C26" s="133">
        <f>IF(SUM(F7:F14)=0,"—",SUM(K7:K14)/SUM(F7:F14))</f>
        <v/>
      </c>
    </row>
    <row r="27" ht="15" customHeight="1" s="86">
      <c r="B27" s="118" t="inlineStr">
        <is>
          <t>Max Return (all hit)</t>
        </is>
      </c>
      <c r="C27" s="122">
        <f>SUM(H7:H14)</f>
        <v/>
      </c>
    </row>
    <row r="28" ht="15" customHeight="1" s="86">
      <c r="B28" s="118" t="inlineStr">
        <is>
          <t>Expected Wins (model)</t>
        </is>
      </c>
      <c r="C28" s="141">
        <f>SUM(L7:L14)</f>
        <v/>
      </c>
    </row>
    <row r="29" ht="15" customHeight="1" s="86">
      <c r="B29" s="118" t="inlineStr">
        <is>
          <t>Expected Value (model)</t>
        </is>
      </c>
      <c r="C29" s="124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4" t="n">
        <v>1</v>
      </c>
      <c r="B33" s="118" t="inlineStr">
        <is>
          <t>Yankees @ Nationals</t>
        </is>
      </c>
      <c r="C33" s="125" t="inlineStr">
        <is>
          <t>Skip — near coin flip, no starter edge</t>
        </is>
      </c>
      <c r="D33" s="134" t="inlineStr">
        <is>
          <t>NYY -114</t>
        </is>
      </c>
      <c r="E33" s="138" t="n"/>
      <c r="F33" s="138" t="n"/>
    </row>
    <row r="34" ht="15" customHeight="1" s="86">
      <c r="A34" s="114" t="n">
        <v>2</v>
      </c>
      <c r="B34" s="118" t="inlineStr">
        <is>
          <t>Red Sox @ Mets</t>
        </is>
      </c>
      <c r="C34" s="125" t="inlineStr">
        <is>
          <t>Skip — Tolle good but line already fair</t>
        </is>
      </c>
      <c r="D34" s="134" t="inlineStr">
        <is>
          <t>BOS -126</t>
        </is>
      </c>
      <c r="E34" s="138" t="n"/>
      <c r="F34" s="138" t="n"/>
    </row>
    <row r="35" ht="15" customHeight="1" s="86">
      <c r="A35" s="114" t="n">
        <v>3</v>
      </c>
      <c r="B35" s="118" t="inlineStr">
        <is>
          <t>Guardians @ Marlins</t>
        </is>
      </c>
      <c r="C35" s="125" t="inlineStr">
        <is>
          <t>Skip — no edge either way</t>
        </is>
      </c>
      <c r="D35" s="134" t="inlineStr">
        <is>
          <t>MIA -115</t>
        </is>
      </c>
      <c r="E35" s="138" t="n"/>
      <c r="F35" s="138" t="n"/>
    </row>
    <row r="36" ht="15" customHeight="1" s="86">
      <c r="A36" s="114" t="n">
        <v>4</v>
      </c>
      <c r="B36" s="118" t="inlineStr">
        <is>
          <t>Angels @ Twins</t>
        </is>
      </c>
      <c r="C36" s="125" t="inlineStr">
        <is>
          <t>Skip — no edge</t>
        </is>
      </c>
      <c r="D36" s="134" t="inlineStr">
        <is>
          <t>MIN -136</t>
        </is>
      </c>
      <c r="E36" s="138" t="n"/>
      <c r="F36" s="138" t="n"/>
    </row>
    <row r="37" ht="15" customHeight="1" s="86">
      <c r="A37" s="114" t="n">
        <v>5</v>
      </c>
      <c r="B37" s="118" t="inlineStr">
        <is>
          <t>Braves @ Cardinals</t>
        </is>
      </c>
      <c r="C37" s="125" t="inlineStr">
        <is>
          <t>Skip — two 4.5+ ERA starters, unpredictable</t>
        </is>
      </c>
      <c r="D37" s="134" t="inlineStr">
        <is>
          <t>STL -136</t>
        </is>
      </c>
      <c r="E37" s="138" t="n"/>
      <c r="F37" s="138" t="n"/>
    </row>
    <row r="38" ht="15" customHeight="1" s="86">
      <c r="A38" s="114" t="n">
        <v>6</v>
      </c>
      <c r="B38" s="118" t="inlineStr">
        <is>
          <t>Astros @ Rangers</t>
        </is>
      </c>
      <c r="C38" s="125" t="inlineStr">
        <is>
          <t>Skip — Javier 10.22 ERA returning, unquantifiable</t>
        </is>
      </c>
      <c r="D38" s="134" t="inlineStr">
        <is>
          <t>TEX -131</t>
        </is>
      </c>
      <c r="E38" s="138" t="n"/>
      <c r="F38" s="138" t="n"/>
    </row>
    <row r="39" ht="15" customHeight="1" s="86">
      <c r="A39" s="114" t="n">
        <v>7</v>
      </c>
      <c r="B39" s="118" t="inlineStr">
        <is>
          <t>D-backs @ Dodgers</t>
        </is>
      </c>
      <c r="C39" s="125" t="inlineStr">
        <is>
          <t>Skip — LAD -219 too juiced; ARI +178 tempting but pass</t>
        </is>
      </c>
      <c r="D39" s="134" t="inlineStr">
        <is>
          <t>LAD -219</t>
        </is>
      </c>
      <c r="E39" s="138" t="n"/>
      <c r="F39" s="138" t="n"/>
    </row>
    <row r="40" ht="15" customHeight="1" s="86">
      <c r="A40" s="114" t="n">
        <v>8</v>
      </c>
      <c r="B40" s="118" t="inlineStr">
        <is>
          <t>Blue Jays @ Padres</t>
        </is>
      </c>
      <c r="C40" s="125" t="inlineStr">
        <is>
          <t>Skip — Gausman 4-8, no edge</t>
        </is>
      </c>
      <c r="D40" s="134" t="inlineStr">
        <is>
          <t>TOR -126</t>
        </is>
      </c>
      <c r="E40" s="138" t="n"/>
      <c r="F40" s="138" t="n"/>
    </row>
    <row r="42" ht="15" customHeight="1" s="86">
      <c r="A42" s="136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4 — NASCAR QUAKER STATE 400 · ECHOPARK SPEEDWAY (ATLANTA) · JULY 12, 2026</t>
        </is>
      </c>
      <c r="H1" s="137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2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Blaney beats Byron (H2H)</t>
        </is>
      </c>
      <c r="C7" s="113" t="inlineStr">
        <is>
          <t>Head-to-head finishing matchup</t>
        </is>
      </c>
      <c r="D7" s="114" t="inlineStr">
        <is>
          <t>Matchup</t>
        </is>
      </c>
      <c r="E7" s="120" t="n">
        <v>-113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0.58</v>
      </c>
      <c r="M7" s="143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4" t="n">
        <v>2</v>
      </c>
      <c r="B8" s="90" t="inlineStr">
        <is>
          <t>Daniel Suarez Top-5</t>
        </is>
      </c>
      <c r="C8" s="113" t="inlineStr">
        <is>
          <t>Finishing position prop</t>
        </is>
      </c>
      <c r="D8" s="114" t="inlineStr">
        <is>
          <t>Prop</t>
        </is>
      </c>
      <c r="E8" s="120" t="n">
        <v>456</v>
      </c>
      <c r="F8" s="121" t="n">
        <v>200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0.24</v>
      </c>
      <c r="M8" s="143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4" t="n">
        <v>3</v>
      </c>
      <c r="B9" s="90" t="inlineStr">
        <is>
          <t>Chase Elliott to Win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1150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0.1</v>
      </c>
      <c r="M9" s="143" t="inlineStr">
        <is>
          <t>Defending race winner, Georgia native, Chevy won 4 of last 5 here · LOSS — Elliott did not win (Blaney P1)</t>
        </is>
      </c>
    </row>
    <row r="10" ht="15" customHeight="1" s="86">
      <c r="A10" s="114" t="n">
        <v>4</v>
      </c>
      <c r="B10" s="90" t="inlineStr">
        <is>
          <t>Carson Hocevar to Win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1567</v>
      </c>
      <c r="F10" s="121" t="n">
        <v>120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0.08</v>
      </c>
      <c r="M10" s="143" t="inlineStr">
        <is>
          <t>3 straight Atlanta top-10s; elite drafter · LOSS — Hocevar P3; closest of the winner basket</t>
        </is>
      </c>
    </row>
    <row r="11" ht="15" customHeight="1" s="86">
      <c r="A11" s="114" t="n">
        <v>5</v>
      </c>
      <c r="B11" s="90" t="inlineStr">
        <is>
          <t>Brad Keselowski to Win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1800</v>
      </c>
      <c r="F11" s="121" t="n">
        <v>100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0.07000000000000001</v>
      </c>
      <c r="M11" s="143" t="inlineStr">
        <is>
          <t>2 Atlanta wins, 6 top-3s; CBS model top pick; RFK form · LOSS — Keselowski did not win</t>
        </is>
      </c>
    </row>
    <row r="12" ht="15" customHeight="1" s="86">
      <c r="A12" s="114" t="n">
        <v>6</v>
      </c>
      <c r="B12" s="90" t="inlineStr">
        <is>
          <t>Tyler Reddick to Win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1150</v>
      </c>
      <c r="F12" s="121" t="n">
        <v>90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0.08</v>
      </c>
      <c r="M12" s="143" t="inlineStr">
        <is>
          <t>Drafting ace; Toyota gambled on race trim over qualifying · LOSS — Reddick did not win (P8 per post-race reports)</t>
        </is>
      </c>
    </row>
    <row r="13" ht="15" customHeight="1" s="86">
      <c r="A13" s="114" t="n">
        <v>7</v>
      </c>
      <c r="B13" s="90" t="inlineStr">
        <is>
          <t>Kyle Larson to Win (LONGSHOT)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1900</v>
      </c>
      <c r="F13" s="121" t="n">
        <v>40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0.05</v>
      </c>
      <c r="M13" s="143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1">
        <f>SUM(L7:L13)</f>
        <v/>
      </c>
    </row>
    <row r="27" ht="15" customHeight="1" s="86">
      <c r="B27" s="90" t="inlineStr">
        <is>
          <t>Best-Case P/L (basket excl.)</t>
        </is>
      </c>
      <c r="C27" s="115">
        <f>2678</f>
        <v/>
      </c>
    </row>
    <row r="29" ht="15" customHeight="1" s="86">
      <c r="A29" s="136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16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46" t="inlineStr">
        <is>
          <t>Odds boards, live scores, schedules, brackets</t>
        </is>
      </c>
      <c r="C5" s="147" t="n"/>
      <c r="D5" s="147" t="inlineStr">
        <is>
          <t>✓</t>
        </is>
      </c>
      <c r="E5" s="147" t="inlineStr">
        <is>
          <t>✓</t>
        </is>
      </c>
      <c r="F5" s="147" t="n"/>
      <c r="G5" s="148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46" t="inlineStr">
        <is>
          <t>Official UFC fight results</t>
        </is>
      </c>
      <c r="C6" s="147" t="inlineStr">
        <is>
          <t>✓</t>
        </is>
      </c>
      <c r="D6" s="147" t="n"/>
      <c r="E6" s="147" t="n"/>
      <c r="F6" s="147" t="n"/>
      <c r="G6" s="148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46" t="inlineStr">
        <is>
          <t>Full fight results incl. early prelims</t>
        </is>
      </c>
      <c r="C7" s="147" t="inlineStr">
        <is>
          <t>✓</t>
        </is>
      </c>
      <c r="D7" s="147" t="n"/>
      <c r="E7" s="147" t="n"/>
      <c r="F7" s="147" t="n"/>
      <c r="G7" s="148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46" t="inlineStr">
        <is>
          <t>Sportsbook odds aggregation (BetMGM)</t>
        </is>
      </c>
      <c r="C8" s="147" t="n"/>
      <c r="D8" s="147" t="inlineStr">
        <is>
          <t>✓</t>
        </is>
      </c>
      <c r="E8" s="147" t="n"/>
      <c r="F8" s="147" t="n"/>
      <c r="G8" s="148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46" t="inlineStr">
        <is>
          <t>Odds, picks, prediction-market data</t>
        </is>
      </c>
      <c r="C9" s="147" t="n"/>
      <c r="D9" s="147" t="inlineStr">
        <is>
          <t>✓</t>
        </is>
      </c>
      <c r="E9" s="147" t="n"/>
      <c r="F9" s="147" t="inlineStr">
        <is>
          <t>✓</t>
        </is>
      </c>
      <c r="G9" s="148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46" t="inlineStr">
        <is>
          <t>DraftKings opening lines &amp; analysis</t>
        </is>
      </c>
      <c r="C10" s="147" t="n"/>
      <c r="D10" s="147" t="inlineStr">
        <is>
          <t>✓</t>
        </is>
      </c>
      <c r="E10" s="147" t="inlineStr">
        <is>
          <t>✓</t>
        </is>
      </c>
      <c r="F10" s="147" t="n"/>
      <c r="G10" s="148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46" t="inlineStr">
        <is>
          <t>Brackets, schedules, lineups, reports</t>
        </is>
      </c>
      <c r="C11" s="147" t="n"/>
      <c r="D11" s="147" t="inlineStr">
        <is>
          <t>✓</t>
        </is>
      </c>
      <c r="E11" s="147" t="n"/>
      <c r="F11" s="147" t="inlineStr">
        <is>
          <t>✓</t>
        </is>
      </c>
      <c r="G11" s="148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46" t="inlineStr">
        <is>
          <t>Live match blogs</t>
        </is>
      </c>
      <c r="C12" s="147" t="n"/>
      <c r="D12" s="147" t="inlineStr">
        <is>
          <t>✓</t>
        </is>
      </c>
      <c r="E12" s="147" t="n"/>
      <c r="F12" s="147" t="n"/>
      <c r="G12" s="148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46" t="inlineStr">
        <is>
          <t>Odds stories, score pages</t>
        </is>
      </c>
      <c r="C13" s="147" t="n"/>
      <c r="D13" s="147" t="inlineStr">
        <is>
          <t>✓</t>
        </is>
      </c>
      <c r="E13" s="147" t="n"/>
      <c r="F13" s="147" t="n"/>
      <c r="G13" s="148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46" t="inlineStr">
        <is>
          <t>Match previews &amp; broadcast info</t>
        </is>
      </c>
      <c r="C14" s="147" t="n"/>
      <c r="D14" s="147" t="inlineStr">
        <is>
          <t>✓</t>
        </is>
      </c>
      <c r="E14" s="147" t="n"/>
      <c r="F14" s="147" t="n"/>
      <c r="G14" s="148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46" t="inlineStr">
        <is>
          <t>Tournament format &amp; structure</t>
        </is>
      </c>
      <c r="C15" s="147" t="n"/>
      <c r="D15" s="147" t="inlineStr">
        <is>
          <t>✓</t>
        </is>
      </c>
      <c r="E15" s="147" t="n"/>
      <c r="F15" s="147" t="n"/>
      <c r="G15" s="148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46" t="inlineStr">
        <is>
          <t>Expert betting analysis &amp; picks</t>
        </is>
      </c>
      <c r="C16" s="147" t="n"/>
      <c r="D16" s="147" t="n"/>
      <c r="E16" s="147" t="inlineStr">
        <is>
          <t>✓</t>
        </is>
      </c>
      <c r="F16" s="147" t="inlineStr">
        <is>
          <t>✓</t>
        </is>
      </c>
      <c r="G16" s="148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46" t="inlineStr">
        <is>
          <t>Game predictions with stats</t>
        </is>
      </c>
      <c r="C17" s="147" t="n"/>
      <c r="D17" s="147" t="n"/>
      <c r="E17" s="147" t="inlineStr">
        <is>
          <t>✓</t>
        </is>
      </c>
      <c r="F17" s="147" t="n"/>
      <c r="G17" s="148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46" t="inlineStr">
        <is>
          <t>Official schedules &amp; probable pitchers</t>
        </is>
      </c>
      <c r="C18" s="147" t="n"/>
      <c r="D18" s="147" t="n"/>
      <c r="E18" s="147" t="inlineStr">
        <is>
          <t>✓</t>
        </is>
      </c>
      <c r="F18" s="147" t="n"/>
      <c r="G18" s="148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46" t="inlineStr">
        <is>
          <t>Model-based picks &amp; odds (FanDuel)</t>
        </is>
      </c>
      <c r="C19" s="147" t="n"/>
      <c r="D19" s="147" t="n"/>
      <c r="E19" s="147" t="n"/>
      <c r="F19" s="147" t="inlineStr">
        <is>
          <t>✓</t>
        </is>
      </c>
      <c r="G19" s="148" t="inlineStr">
        <is>
          <t>SportsLine model: Keselowski call, Blaney fade</t>
        </is>
      </c>
    </row>
    <row r="20" ht="15" customHeight="1" s="86">
      <c r="A20" s="149" t="inlineStr">
        <is>
          <t>si.com</t>
        </is>
      </c>
      <c r="B20" s="150" t="inlineStr">
        <is>
          <t>Betting lines, picks &amp; player props (FanDuel)</t>
        </is>
      </c>
      <c r="D20" s="151" t="inlineStr">
        <is>
          <t>✓</t>
        </is>
      </c>
      <c r="F20" s="151" t="inlineStr">
        <is>
          <t>✓</t>
        </is>
      </c>
      <c r="G20" s="136" t="inlineStr">
        <is>
          <t>T2: France-Spain lines · T5 WNBA: all game lines &amp; props</t>
        </is>
      </c>
    </row>
    <row r="21" ht="15" customHeight="1" s="86">
      <c r="A21" s="149" t="inlineStr">
        <is>
          <t>golfdigest.com</t>
        </is>
      </c>
      <c r="B21" s="150" t="inlineStr">
        <is>
          <t>Golf major picks &amp; player analysis</t>
        </is>
      </c>
      <c r="G21" s="136" t="inlineStr">
        <is>
          <t>T6 Open: 13-best-bets breakdown, form/course fit</t>
        </is>
      </c>
    </row>
    <row r="22" ht="15" customHeight="1" s="86">
      <c r="A22" s="149" t="inlineStr">
        <is>
          <t>sportsbettingdime.com</t>
        </is>
      </c>
      <c r="B22" s="150" t="inlineStr">
        <is>
          <t>Odds tracking (DraftKings)</t>
        </is>
      </c>
      <c r="G22" s="136" t="inlineStr">
        <is>
          <t>T6 Open: outright board · also WC SF openers</t>
        </is>
      </c>
    </row>
    <row r="23" ht="15" customHeight="1" s="86">
      <c r="A23" s="149" t="inlineStr">
        <is>
          <t>all.rugby</t>
        </is>
      </c>
      <c r="B23" s="150" t="inlineStr">
        <is>
          <t>Rugby fixtures &amp; results</t>
        </is>
      </c>
      <c r="G23" s="136" t="inlineStr">
        <is>
          <t>T7 Rugby: Nations Cup rounds 1-2 results, Rd 3 fixtures</t>
        </is>
      </c>
    </row>
    <row r="24" ht="15" customHeight="1" s="86"/>
    <row r="25" ht="15" customHeight="1" s="86">
      <c r="A25" s="152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3" t="inlineStr">
        <is>
          <t>Test 8 · HR Derby Jul 13</t>
        </is>
      </c>
      <c r="B29" s="153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3" t="inlineStr">
        <is>
          <t>Test 9 · WNBA Jul 15</t>
        </is>
      </c>
      <c r="B30" s="153" t="inlineStr">
        <is>
          <t>covers.com (Fever-Valkyries odds); dratings.com (slate, projections); actionnetwork.com (Sparks-Lynx); fantasyalarm.com (Fever preview); espn.com (records)</t>
        </is>
      </c>
    </row>
    <row r="31" ht="15" customHeight="1" s="86">
      <c r="A31" s="153" t="inlineStr">
        <is>
          <t>Test 7 · Rugby Jul 18</t>
        </is>
      </c>
      <c r="B31" s="153" t="inlineStr">
        <is>
          <t>freetips.com (Chile-Georgia -12.5, USA-Spain -3.5 handicaps); all.rugby (fixtures/form); world.rugby (tournament); skysports.com (previews)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5 — WNBA SUNDAY NIGHT DOUBLEHEADER · JULY 12, 2026</t>
        </is>
      </c>
      <c r="H1" s="137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Wings -9.5</t>
        </is>
      </c>
      <c r="C7" s="113" t="inlineStr">
        <is>
          <t>vs Sky · 7 PM ET</t>
        </is>
      </c>
      <c r="D7" s="114" t="inlineStr">
        <is>
          <t>Spread</t>
        </is>
      </c>
      <c r="E7" s="120" t="n">
        <v>-115</v>
      </c>
      <c r="F7" s="121" t="n">
        <v>200</v>
      </c>
      <c r="G7" s="122">
        <f>IF(E7&gt;0,F7*E7/100,F7*100/ABS(E7))</f>
        <v/>
      </c>
      <c r="H7" s="122">
        <f>F7+G7</f>
        <v/>
      </c>
      <c r="I7" s="126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0.5600000000000001</v>
      </c>
      <c r="M7" s="143" t="inlineStr">
        <is>
          <t>Sky missing Carrington + Diggins; Wings 15-8, 2nd in O-rating last 10 · RESULT: DAL 82-79 — won by 3, spread dead</t>
        </is>
      </c>
    </row>
    <row r="8" ht="15" customHeight="1" s="86">
      <c r="A8" s="114" t="n">
        <v>2</v>
      </c>
      <c r="B8" s="90" t="inlineStr">
        <is>
          <t>Sky @ Wings Over 177.5</t>
        </is>
      </c>
      <c r="C8" s="113" t="inlineStr">
        <is>
          <t>Game 1 total</t>
        </is>
      </c>
      <c r="D8" s="114" t="inlineStr">
        <is>
          <t>Total</t>
        </is>
      </c>
      <c r="E8" s="120" t="n">
        <v>-112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0.5600000000000001</v>
      </c>
      <c r="M8" s="143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4" t="n">
        <v>3</v>
      </c>
      <c r="B9" s="90" t="inlineStr">
        <is>
          <t>Paige Bueckers 20+ Points</t>
        </is>
      </c>
      <c r="C9" s="113" t="inlineStr">
        <is>
          <t>Wings G · player prop</t>
        </is>
      </c>
      <c r="D9" s="114" t="inlineStr">
        <is>
          <t>Prop</t>
        </is>
      </c>
      <c r="E9" s="120" t="n">
        <v>-159</v>
      </c>
      <c r="F9" s="121" t="n">
        <v>150</v>
      </c>
      <c r="G9" s="122">
        <f>IF(E9&gt;0,F9*E9/100,F9*100/ABS(E9))</f>
        <v/>
      </c>
      <c r="H9" s="122">
        <f>F9+G9</f>
        <v/>
      </c>
      <c r="I9" s="123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0.65</v>
      </c>
      <c r="M9" s="143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4" t="n">
        <v>4</v>
      </c>
      <c r="B10" s="90" t="inlineStr">
        <is>
          <t>Aces -4.5</t>
        </is>
      </c>
      <c r="C10" s="113" t="inlineStr">
        <is>
          <t>vs Fever · 9 PM ET</t>
        </is>
      </c>
      <c r="D10" s="114" t="inlineStr">
        <is>
          <t>Spread</t>
        </is>
      </c>
      <c r="E10" s="120" t="n">
        <v>-108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43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4" t="n">
        <v>5</v>
      </c>
      <c r="B11" s="90" t="inlineStr">
        <is>
          <t>A'ja Wilson Double-Double (Yes)</t>
        </is>
      </c>
      <c r="C11" s="113" t="inlineStr">
        <is>
          <t>Aces F · player prop</t>
        </is>
      </c>
      <c r="D11" s="114" t="inlineStr">
        <is>
          <t>Prop</t>
        </is>
      </c>
      <c r="E11" s="120" t="n">
        <v>-120</v>
      </c>
      <c r="F11" s="121" t="n">
        <v>130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0.6</v>
      </c>
      <c r="M11" s="143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4" t="n">
        <v>6</v>
      </c>
      <c r="B12" s="90" t="inlineStr">
        <is>
          <t>Kelsey Mitchell Over 2.5 Threes</t>
        </is>
      </c>
      <c r="C12" s="113" t="inlineStr">
        <is>
          <t>Fever G · player prop</t>
        </is>
      </c>
      <c r="D12" s="114" t="inlineStr">
        <is>
          <t>Prop</t>
        </is>
      </c>
      <c r="E12" s="120" t="n">
        <v>-121</v>
      </c>
      <c r="F12" s="121" t="n">
        <v>120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0.58</v>
      </c>
      <c r="M12" s="143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Wings -9.5 / Aces -4.5 / Bueckers 20+ / Mitchell 3+ threes</t>
        </is>
      </c>
      <c r="D13" s="114" t="inlineStr">
        <is>
          <t>Parlay</t>
        </is>
      </c>
      <c r="E13" s="120" t="n">
        <v>971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6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0.12</v>
      </c>
      <c r="M13" s="143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2">
        <f>SUM(H7:H13)</f>
        <v/>
      </c>
    </row>
    <row r="27" ht="15" customHeight="1" s="86">
      <c r="B27" s="90" t="inlineStr">
        <is>
          <t>Expected Wins (model)</t>
        </is>
      </c>
      <c r="C27" s="141">
        <f>SUM(L7:L13)</f>
        <v/>
      </c>
    </row>
    <row r="28" ht="15" customHeight="1" s="86">
      <c r="B28" s="90" t="inlineStr">
        <is>
          <t>Expected Value (model)</t>
        </is>
      </c>
      <c r="C28" s="124">
        <f>SUMPRODUCT(L7:L13,G7:G13)-SUMPRODUCT(1-L7:L13,F7:F13)</f>
        <v/>
      </c>
    </row>
    <row r="30" ht="15" customHeight="1" s="86">
      <c r="A30" s="136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6 — THE 154th OPEN CHAMPIONSHIP · ROYAL BIRKDALE · JULY 16-19, 2026</t>
        </is>
      </c>
      <c r="B1" s="85" t="inlineStr">
        <is>
          <t>STATUS: ACTIVE — FINAL ROUND LIVE (Sun ~10:25 AM CT; Golf Monthly ~3:05 PM local): Si Woo Kim seizes lead −10 thru 8; Burns −9 thru 5; Young −9 thru 14; Scheffler −7 thru 14 (3 back, top-10 strong); Fleetwood −6 thru 9; Rahm −2 (OB at 1 again); grades tonight off verified final board</t>
        </is>
      </c>
      <c r="H1" s="137" t="inlineStr">
        <is>
          <t>STATUS: ACTIVE — FINAL ROUND LIVE (Sun ~10:25 AM CT; Golf Monthly ~3:05 PM local): Si Woo Kim seizes lead −10 thru 8; Burns −9 thru 5; Young −9 thru 14; Scheffler −7 thru 14 (3 back, top-10 strong); Fleetwood −6 thru 9; Rahm −2 (OB at 1 again); grades tonight off verified final board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Scottie Scheffler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450</v>
      </c>
      <c r="F7" s="121" t="n">
        <v>200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0.18</v>
      </c>
      <c r="M7" s="143" t="inlineStr">
        <is>
          <t>Anchor — defending champ, drought discount on world No. 1</t>
        </is>
      </c>
    </row>
    <row r="8" ht="15" customHeight="1" s="86">
      <c r="A8" s="114" t="n">
        <v>2</v>
      </c>
      <c r="B8" s="90" t="inlineStr">
        <is>
          <t>Jon Rahm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1600</v>
      </c>
      <c r="F8" s="121" t="n">
        <v>100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0.07000000000000001</v>
      </c>
      <c r="M8" s="143" t="inlineStr">
        <is>
          <t>Two majors, near-misses all season, wind player</t>
        </is>
      </c>
    </row>
    <row r="9" ht="15" customHeight="1" s="86">
      <c r="A9" s="114" t="n">
        <v>3</v>
      </c>
      <c r="B9" s="90" t="inlineStr">
        <is>
          <t>Tommy Fleetwood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1600</v>
      </c>
      <c r="F9" s="121" t="n">
        <v>100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0.07000000000000001</v>
      </c>
      <c r="M9" s="143" t="inlineStr">
        <is>
          <t>Southport native — Birkdale is his home course</t>
        </is>
      </c>
    </row>
    <row r="10" ht="15" customHeight="1" s="86">
      <c r="A10" s="114" t="n">
        <v>4</v>
      </c>
      <c r="B10" s="90" t="inlineStr">
        <is>
          <t>Matt Fitzpatrick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2000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Pending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0.055</v>
      </c>
      <c r="M10" s="143" t="inlineStr">
        <is>
          <t>3 wins this season, English home major</t>
        </is>
      </c>
    </row>
    <row r="11" ht="15" customHeight="1" s="86">
      <c r="A11" s="114" t="n">
        <v>5</v>
      </c>
      <c r="B11" s="90" t="inlineStr">
        <is>
          <t>Collin Morikawa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2800</v>
      </c>
      <c r="F11" s="121" t="n">
        <v>70</v>
      </c>
      <c r="G11" s="122">
        <f>IF(E11&gt;0,F11*E11/100,F11*100/ABS(E11))</f>
        <v/>
      </c>
      <c r="H11" s="122">
        <f>F11+G11</f>
        <v/>
      </c>
      <c r="I11" s="138" t="inlineStr">
        <is>
          <t>Pending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0.045</v>
      </c>
      <c r="M11" s="143" t="inlineStr">
        <is>
          <t>2021 Open champ, Sunday 61 at Travelers</t>
        </is>
      </c>
    </row>
    <row r="12" ht="15" customHeight="1" s="86">
      <c r="A12" s="114" t="n">
        <v>6</v>
      </c>
      <c r="B12" s="90" t="inlineStr">
        <is>
          <t>Brooks Koepka (LONGSHOT)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5000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Pending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0.025</v>
      </c>
      <c r="M12" s="143" t="inlineStr">
        <is>
          <t>5 majors, career-long price · counts in longshot record</t>
        </is>
      </c>
    </row>
    <row r="13" ht="15" customHeight="1" s="86">
      <c r="A13" s="155" t="n">
        <v>7</v>
      </c>
      <c r="B13" s="156" t="inlineStr">
        <is>
          <t>Scottie Scheffler Top-10</t>
        </is>
      </c>
      <c r="C13" s="157" t="inlineStr">
        <is>
          <t>Top-10 finish</t>
        </is>
      </c>
      <c r="D13" s="155" t="inlineStr">
        <is>
          <t>Prop</t>
        </is>
      </c>
      <c r="E13" s="158" t="n">
        <v>-146</v>
      </c>
      <c r="F13" s="159" t="n">
        <v>120</v>
      </c>
      <c r="G13" s="160">
        <f>IF(E13&gt;0,F13*E13/100,F13*100/ABS(E13))</f>
        <v/>
      </c>
      <c r="H13" s="160">
        <f>F13+G13</f>
        <v/>
      </c>
      <c r="I13" s="138" t="inlineStr">
        <is>
          <t>Pending</t>
        </is>
      </c>
      <c r="J13" s="160">
        <f>IF(I13="Win",F13+G13,IF(I13="Push",F13,IF(I13="Loss",0,0)))</f>
        <v/>
      </c>
      <c r="K13" s="161">
        <f>IF(I13="Pending",0,J13-F13)</f>
        <v/>
      </c>
      <c r="L13" s="162" t="n">
        <v>0.62</v>
      </c>
      <c r="M13" s="163" t="inlineStr">
        <is>
          <t>World #1 / +620 favorite; safest of the basket</t>
        </is>
      </c>
    </row>
    <row r="14" ht="15" customHeight="1" s="86">
      <c r="A14" s="114" t="n">
        <v>8</v>
      </c>
      <c r="B14" s="90" t="inlineStr">
        <is>
          <t>Tommy Fleetwood Top-10</t>
        </is>
      </c>
      <c r="C14" s="113" t="inlineStr">
        <is>
          <t>Top-10 finish</t>
        </is>
      </c>
      <c r="D14" s="114" t="inlineStr">
        <is>
          <t>Prop</t>
        </is>
      </c>
      <c r="E14" s="120" t="n">
        <v>158</v>
      </c>
      <c r="F14" s="121" t="n">
        <v>90</v>
      </c>
      <c r="G14" s="122">
        <f>IF(E14&gt;0,F14*E14/100,F14*100/ABS(E14))</f>
        <v/>
      </c>
      <c r="H14" s="122">
        <f>F14+G14</f>
        <v/>
      </c>
      <c r="I14" s="138" t="inlineStr">
        <is>
          <t>Pending</t>
        </is>
      </c>
      <c r="J14" s="122">
        <f>IF(I14="Win",F14+G14,IF(I14="Push",F14,IF(I14="Loss",0,0)))</f>
        <v/>
      </c>
      <c r="K14" s="124">
        <f>IF(I14="Pending",0,J14-F14)</f>
        <v/>
      </c>
      <c r="L14" s="154" t="n">
        <v>0.44</v>
      </c>
      <c r="M14" s="143" t="inlineStr">
        <is>
          <t>Southport native, home links; strong value</t>
        </is>
      </c>
    </row>
    <row r="15" ht="15" customHeight="1" s="86">
      <c r="A15" s="114" t="n">
        <v>9</v>
      </c>
      <c r="B15" s="90" t="inlineStr">
        <is>
          <t>Jon Rahm Top-10</t>
        </is>
      </c>
      <c r="C15" s="113" t="inlineStr">
        <is>
          <t>Top-10 finish</t>
        </is>
      </c>
      <c r="D15" s="114" t="inlineStr">
        <is>
          <t>Prop</t>
        </is>
      </c>
      <c r="E15" s="120" t="n">
        <v>172</v>
      </c>
      <c r="F15" s="121" t="n">
        <v>80</v>
      </c>
      <c r="G15" s="122">
        <f>IF(E15&gt;0,F15*E15/100,F15*100/ABS(E15))</f>
        <v/>
      </c>
      <c r="H15" s="122">
        <f>F15+G15</f>
        <v/>
      </c>
      <c r="I15" s="138" t="inlineStr">
        <is>
          <t>Pending</t>
        </is>
      </c>
      <c r="J15" s="122">
        <f>IF(I15="Win",F15+G15,IF(I15="Push",F15,IF(I15="Loss",0,0)))</f>
        <v/>
      </c>
      <c r="K15" s="124">
        <f>IF(I15="Pending",0,J15-F15)</f>
        <v/>
      </c>
      <c r="L15" s="154" t="n">
        <v>0.42</v>
      </c>
      <c r="M15" s="143" t="inlineStr">
        <is>
          <t>Elite wind player; value vs field</t>
        </is>
      </c>
    </row>
    <row r="16" ht="15" customHeight="1" s="86">
      <c r="A16" s="114" t="n">
        <v>10</v>
      </c>
      <c r="B16" s="90" t="inlineStr">
        <is>
          <t>Matt Fitzpatrick Top-10</t>
        </is>
      </c>
      <c r="C16" s="113" t="inlineStr">
        <is>
          <t>Top-10 finish</t>
        </is>
      </c>
      <c r="D16" s="114" t="inlineStr">
        <is>
          <t>Prop</t>
        </is>
      </c>
      <c r="E16" s="120" t="n">
        <v>164</v>
      </c>
      <c r="F16" s="121" t="n">
        <v>70</v>
      </c>
      <c r="G16" s="122">
        <f>IF(E16&gt;0,F16*E16/100,F16*100/ABS(E16))</f>
        <v/>
      </c>
      <c r="H16" s="122">
        <f>F16+G16</f>
        <v/>
      </c>
      <c r="I16" s="138" t="inlineStr">
        <is>
          <t>Pending</t>
        </is>
      </c>
      <c r="J16" s="122">
        <f>IF(I16="Win",F16+G16,IF(I16="Push",F16,IF(I16="Loss",0,0)))</f>
        <v/>
      </c>
      <c r="K16" s="124">
        <f>IF(I16="Pending",0,J16-F16)</f>
        <v/>
      </c>
      <c r="L16" s="154" t="n">
        <v>0.42</v>
      </c>
      <c r="M16" s="143" t="inlineStr">
        <is>
          <t>English; 6 straight Open cuts made</t>
        </is>
      </c>
    </row>
    <row r="17" ht="15" customHeight="1" s="86">
      <c r="A17" s="114" t="n">
        <v>11</v>
      </c>
      <c r="B17" s="90" t="inlineStr">
        <is>
          <t>Collin Morikawa Top-10</t>
        </is>
      </c>
      <c r="C17" s="164" t="inlineStr">
        <is>
          <t>Top-10 finish</t>
        </is>
      </c>
      <c r="D17" s="114" t="inlineStr">
        <is>
          <t>Prop</t>
        </is>
      </c>
      <c r="E17" s="120" t="n">
        <v>280</v>
      </c>
      <c r="F17" s="121" t="n">
        <v>40</v>
      </c>
      <c r="G17" s="122">
        <f>IF(E17&gt;0,F17*E17/100,F17*100/ABS(E17))</f>
        <v/>
      </c>
      <c r="H17" s="122">
        <f>F17+G17</f>
        <v/>
      </c>
      <c r="I17" s="138" t="inlineStr">
        <is>
          <t>Pending</t>
        </is>
      </c>
      <c r="J17" s="122">
        <f>IF(I17="Win",F17+G17,IF(I17="Push",F17,IF(I17="Loss",0,0)))</f>
        <v/>
      </c>
      <c r="K17" s="124">
        <f>IF(I17="Pending",0,J17-F17)</f>
        <v/>
      </c>
      <c r="L17" s="154" t="n">
        <v>0.3</v>
      </c>
      <c r="M17" s="143" t="inlineStr">
        <is>
          <t>2021 Open champ, elite ballstriker</t>
        </is>
      </c>
    </row>
    <row r="18" ht="15" customHeight="1" s="86">
      <c r="B18" s="165" t="inlineStr">
        <is>
          <t>TOTALS (deployed)</t>
        </is>
      </c>
      <c r="C18" s="132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6">
        <f>SUM(L7:L17)</f>
        <v/>
      </c>
    </row>
    <row r="19" ht="15" customHeight="1" s="86">
      <c r="B19" s="90" t="inlineStr">
        <is>
          <t>Pending</t>
        </is>
      </c>
      <c r="C19" s="132">
        <f>COUNTIF(I7:I12,"Pending")</f>
        <v/>
      </c>
    </row>
    <row r="20" ht="15" customHeight="1" s="86">
      <c r="B20" s="90" t="inlineStr">
        <is>
          <t>Hit Rate</t>
        </is>
      </c>
      <c r="C20" s="133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5">
        <f>SUM(F7:F12)</f>
        <v/>
      </c>
    </row>
    <row r="22" ht="15" customHeight="1" s="86">
      <c r="B22" s="90" t="inlineStr">
        <is>
          <t>Total Returned</t>
        </is>
      </c>
      <c r="C22" s="122">
        <f>SUM(J7:J12)</f>
        <v/>
      </c>
    </row>
    <row r="23" ht="15" customHeight="1" s="86">
      <c r="B23" s="90" t="inlineStr">
        <is>
          <t>Net P/L</t>
        </is>
      </c>
      <c r="C23" s="124">
        <f>SUM(K7:K12)</f>
        <v/>
      </c>
    </row>
    <row r="24" ht="15" customHeight="1" s="86">
      <c r="B24" s="90" t="inlineStr">
        <is>
          <t>Basket Coverage (one wins)</t>
        </is>
      </c>
      <c r="C24" s="133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8 — MLB HOME RUN DERBY · CITIZENS BANK PARK, PHILADELPHIA · JULY 13, 2026</t>
        </is>
      </c>
      <c r="H1" s="167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Kyle Schwarber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310</v>
      </c>
      <c r="F7" s="121" t="n">
        <v>220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0.27</v>
      </c>
      <c r="M7" s="143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4" t="n">
        <v>2</v>
      </c>
      <c r="B8" s="90" t="inlineStr">
        <is>
          <t>Junior Caminero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425</v>
      </c>
      <c r="F8" s="121" t="n">
        <v>130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0.18</v>
      </c>
      <c r="M8" s="143" t="inlineStr">
        <is>
          <t>44 HR in last year's derby, same BP pitcher — R1 12 HRs (3rd), semis: fell 6-5 to Walker (theScore + AP agree)</t>
        </is>
      </c>
    </row>
    <row r="9" ht="15" customHeight="1" s="86">
      <c r="A9" s="114" t="n">
        <v>3</v>
      </c>
      <c r="B9" s="90" t="inlineStr">
        <is>
          <t>Schwarber R1 Over 10.5 HRs</t>
        </is>
      </c>
      <c r="C9" s="113" t="inlineStr">
        <is>
          <t>Round 1 total</t>
        </is>
      </c>
      <c r="D9" s="114" t="inlineStr">
        <is>
          <t>Prop</t>
        </is>
      </c>
      <c r="E9" s="120" t="n">
        <v>-110</v>
      </c>
      <c r="F9" s="121" t="n">
        <v>180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0.6</v>
      </c>
      <c r="M9" s="143" t="inlineStr">
        <is>
          <t>20 swings + bonus rule; 11 clears — R1: Schwarber hit exactly 10, under by half a homer (theScore + AP agree)</t>
        </is>
      </c>
    </row>
    <row r="10" ht="15" customHeight="1" s="86">
      <c r="A10" s="114" t="n">
        <v>4</v>
      </c>
      <c r="B10" s="90" t="inlineStr">
        <is>
          <t>Total Derby HRs Over 119.5</t>
        </is>
      </c>
      <c r="C10" s="113" t="inlineStr">
        <is>
          <t>Event total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0.58</v>
      </c>
      <c r="M10" s="143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4" t="n">
        <v>5</v>
      </c>
      <c r="B11" s="90" t="inlineStr">
        <is>
          <t>Ben Rice R1 Over 9.5 HRs</t>
        </is>
      </c>
      <c r="C11" s="113" t="inlineStr">
        <is>
          <t>Round 1 total</t>
        </is>
      </c>
      <c r="D11" s="114" t="inlineStr">
        <is>
          <t>Prop</t>
        </is>
      </c>
      <c r="E11" s="120" t="n">
        <v>-110</v>
      </c>
      <c r="F11" s="121" t="n">
        <v>120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0.57</v>
      </c>
      <c r="M11" s="143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4" t="n">
        <v>6</v>
      </c>
      <c r="B12" s="90" t="inlineStr">
        <is>
          <t>Longest HR Over 484.5 ft</t>
        </is>
      </c>
      <c r="C12" s="113" t="inlineStr">
        <is>
          <t>Distance prop</t>
        </is>
      </c>
      <c r="D12" s="114" t="inlineStr">
        <is>
          <t>Prop</t>
        </is>
      </c>
      <c r="E12" s="120" t="n">
        <v>-110</v>
      </c>
      <c r="F12" s="121" t="n">
        <v>125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0.5600000000000001</v>
      </c>
      <c r="M12" s="143" t="inlineStr">
        <is>
          <t>Contreras 490-ft R1 blast clears 484.5 — graded live mid-event (NESN/Sportsnet/Yahoo agree)</t>
        </is>
      </c>
    </row>
    <row r="13" ht="15" customHeight="1" s="86">
      <c r="A13" s="114" t="n">
        <v>7</v>
      </c>
      <c r="B13" s="90" t="inlineStr">
        <is>
          <t>LONGSHOT: Willson Contreras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1400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0.07000000000000001</v>
      </c>
      <c r="M13" s="143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9 — WNBA WEDNESDAY SLATE · JULY 15, 2026</t>
        </is>
      </c>
      <c r="H1" s="168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Fever -3.5</t>
        </is>
      </c>
      <c r="C7" s="113" t="inlineStr">
        <is>
          <t>vs Valkyries · 7 PM CT</t>
        </is>
      </c>
      <c r="D7" s="114" t="inlineStr">
        <is>
          <t>Spread</t>
        </is>
      </c>
      <c r="E7" s="120" t="n">
        <v>-105</v>
      </c>
      <c r="F7" s="121" t="n">
        <v>185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0.57</v>
      </c>
      <c r="M7" s="143" t="inlineStr">
        <is>
          <t>Home, 7-game heater, Clark healthy; anchor · RESULT: Valkyries 88-75 — Fever lost outright by 13, spread dead</t>
        </is>
      </c>
    </row>
    <row r="8" ht="15" customHeight="1" s="86">
      <c r="A8" s="114" t="n">
        <v>2</v>
      </c>
      <c r="B8" s="90" t="inlineStr">
        <is>
          <t>Fever–Valkyries Over 169.5</t>
        </is>
      </c>
      <c r="C8" s="113" t="inlineStr">
        <is>
          <t>Headliner total</t>
        </is>
      </c>
      <c r="D8" s="114" t="inlineStr">
        <is>
          <t>Total</t>
        </is>
      </c>
      <c r="E8" s="120" t="n">
        <v>-115</v>
      </c>
      <c r="F8" s="121" t="n">
        <v>175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Two top-8 offenses, Clark pace, soft number · RESULT: 163 combined — 6.5 under the number</t>
        </is>
      </c>
    </row>
    <row r="9" ht="15" customHeight="1" s="86">
      <c r="A9" s="114" t="n">
        <v>3</v>
      </c>
      <c r="B9" s="90" t="inlineStr">
        <is>
          <t>Sparks–Lynx Over 182.5</t>
        </is>
      </c>
      <c r="C9" s="113" t="inlineStr">
        <is>
          <t>Afternoon total</t>
        </is>
      </c>
      <c r="D9" s="114" t="inlineStr">
        <is>
          <t>Total</t>
        </is>
      </c>
      <c r="E9" s="120" t="n">
        <v>-110</v>
      </c>
      <c r="F9" s="121" t="n">
        <v>160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0.55</v>
      </c>
      <c r="M9" s="143" t="inlineStr">
        <is>
          <t>Lynx offense + Sparks poor D &amp; fast pace · RESULT: Lynx 96-87 — 183 combined, over by half a point</t>
        </is>
      </c>
    </row>
    <row r="10" ht="15" customHeight="1" s="86">
      <c r="A10" s="114" t="n">
        <v>4</v>
      </c>
      <c r="B10" s="90" t="inlineStr">
        <is>
          <t>Caitlin Clark Over 22.5 points</t>
        </is>
      </c>
      <c r="C10" s="113" t="inlineStr">
        <is>
          <t>Fever G · player prop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0.54</v>
      </c>
      <c r="M10" s="143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4" t="n">
        <v>5</v>
      </c>
      <c r="B11" s="90" t="inlineStr">
        <is>
          <t>Chicago Sky ML</t>
        </is>
      </c>
      <c r="C11" s="113" t="inlineStr">
        <is>
          <t>vs Storm · afternoon</t>
        </is>
      </c>
      <c r="D11" s="114" t="inlineStr">
        <is>
          <t>Moneyline</t>
        </is>
      </c>
      <c r="E11" s="120" t="n">
        <v>-130</v>
      </c>
      <c r="F11" s="121" t="n">
        <v>140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0.58</v>
      </c>
      <c r="M11" s="143" t="inlineStr">
        <is>
          <t>vs 6-19 Storm, home side of bad-vs-bad · RESULT: Sky 95-90 over Storm — ML cashed</t>
        </is>
      </c>
    </row>
    <row r="12" ht="15" customHeight="1" s="86">
      <c r="A12" s="114" t="n">
        <v>6</v>
      </c>
      <c r="B12" s="90" t="inlineStr">
        <is>
          <t>Lynx -12.5</t>
        </is>
      </c>
      <c r="C12" s="113" t="inlineStr">
        <is>
          <t>vs Sparks · afternoon</t>
        </is>
      </c>
      <c r="D12" s="114" t="inlineStr">
        <is>
          <t>Spread</t>
        </is>
      </c>
      <c r="E12" s="120" t="n">
        <v>-110</v>
      </c>
      <c r="F12" s="121" t="n">
        <v>115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0.52</v>
      </c>
      <c r="M12" s="143" t="inlineStr">
        <is>
          <t>18-6 vs 10-12; sized down, back-door risk · RESULT: Lynx won by 9 — needed 13, spread dead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Fever -3.5 / Lynx O182.5 / Fever O169.5 / Sky ML</t>
        </is>
      </c>
      <c r="D13" s="114" t="inlineStr">
        <is>
          <t>Parlay</t>
        </is>
      </c>
      <c r="E13" s="120" t="n">
        <v>1133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0.1</v>
      </c>
      <c r="M13" s="143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7A2E8D"/>
    <outlinePr summaryBelow="1" summaryRight="1"/>
    <pageSetUpPr fitToPage="0"/>
  </sheetPr>
  <dimension ref="A1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4" customWidth="1" style="85" min="2" max="2"/>
    <col width="26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7 — WORLD RUGBY NATIONS CUP · FINAL ROUND · JULY 18, 2026</t>
        </is>
      </c>
      <c r="H1" s="169" t="inlineStr">
        <is>
          <t>STATUS: SETTLED — swept the card 3-for-3: Georgia 49-22 Chile, USA 29-22 Spain; LONGSHOT parlay (+263) HIT. Card +$600.47</t>
        </is>
      </c>
    </row>
    <row r="2" ht="15" customHeight="1" s="86">
      <c r="A2" s="88" t="inlineStr">
        <is>
          <t>Source: cards/rugby-jul18-betting-card.html · Lines: freetips.com / Stake.com handicaps, finalized Fri Jul 17</t>
        </is>
      </c>
    </row>
    <row r="3" ht="15" customHeight="1" s="86">
      <c r="A3" s="88" t="inlineStr">
        <is>
          <t>Only 2 of 6 matches drew clean lines (tier-2 markets thin). $550 deployed on priced handicaps + longshot; $450 kept in the account, not at risk.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Georgia -12.5</t>
        </is>
      </c>
      <c r="C7" s="113" t="inlineStr">
        <is>
          <t>Chile vs Georgia · ~2 PM CT</t>
        </is>
      </c>
      <c r="D7" s="114" t="inlineStr">
        <is>
          <t>Handicap</t>
        </is>
      </c>
      <c r="E7" s="120" t="n">
        <v>-111</v>
      </c>
      <c r="F7" s="121" t="n">
        <v>340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0.6</v>
      </c>
      <c r="M7" s="143" t="inlineStr">
        <is>
          <t>Anchor — Georgia unbeaten, class of field; tipster 3-unit high play · GRADED Sat Jul 18: Georgia 49-22 Chile (FT, covered -12.5 by 14.5) — RugbyPass + UltimateRugby agree</t>
        </is>
      </c>
    </row>
    <row r="8" ht="15" customHeight="1" s="86">
      <c r="A8" s="114" t="n">
        <v>2</v>
      </c>
      <c r="B8" s="90" t="inlineStr">
        <is>
          <t>USA -3.5</t>
        </is>
      </c>
      <c r="C8" s="113" t="inlineStr">
        <is>
          <t>USA vs Spain · ~6:30 PM CT</t>
        </is>
      </c>
      <c r="D8" s="114" t="inlineStr">
        <is>
          <t>Handicap</t>
        </is>
      </c>
      <c r="E8" s="120" t="n">
        <v>-110</v>
      </c>
      <c r="F8" s="121" t="n">
        <v>150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Centerpiece — USA 2-0, backed to cover vs inconsistent Spain · GRADED Sat Jul 18: USA 29-22 Spain (FT, won by 7, covered -3.5) — Sky Sports + UltimateRugby agree</t>
        </is>
      </c>
    </row>
    <row r="9" ht="15" customHeight="1" s="86">
      <c r="A9" s="114" t="n">
        <v>3</v>
      </c>
      <c r="B9" s="90" t="inlineStr">
        <is>
          <t>LONGSHOT: Georgia -12.5 + USA -3.5</t>
        </is>
      </c>
      <c r="C9" s="113" t="inlineStr">
        <is>
          <t>2-leg cross-match parlay</t>
        </is>
      </c>
      <c r="D9" s="114" t="inlineStr">
        <is>
          <t>Parlay</t>
        </is>
      </c>
      <c r="E9" s="120" t="n">
        <v>263</v>
      </c>
      <c r="F9" s="121" t="n">
        <v>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0.32</v>
      </c>
      <c r="M9" s="143" t="inlineStr">
        <is>
          <t>Round's longshot (modest — only 2 markets priced); counts in longshot record · Leg 1 (Georgia -12.5) WON 49-22; rides on USA -3.5 · GRADED Sat Jul 18: Leg 2 (USA -3.5) WON 29-22 — PARLAY HITS at +263, first longshot HIT of the test</t>
        </is>
      </c>
    </row>
    <row r="10" ht="15" customHeight="1" s="86">
      <c r="B10" s="89" t="inlineStr">
        <is>
          <t>TOTALS (deployed)</t>
        </is>
      </c>
      <c r="F10" s="93">
        <f>SUM(F7:F9)</f>
        <v/>
      </c>
      <c r="G10" s="93">
        <f>SUM(G7:G9)</f>
        <v/>
      </c>
      <c r="H10" s="93">
        <f>SUM(H7:H9)</f>
        <v/>
      </c>
      <c r="J10" s="93">
        <f>SUM(J7:J9)</f>
        <v/>
      </c>
      <c r="K10" s="93">
        <f>SUM(K7:K9)</f>
        <v/>
      </c>
    </row>
  </sheetData>
  <conditionalFormatting sqref="K7:K10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9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2026-07-19T15:20:55Z</dcterms:modified>
  <cp:revision>0</cp:revision>
</cp:coreProperties>
</file>