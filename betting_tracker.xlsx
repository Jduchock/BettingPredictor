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<sst xmlns="http://schemas.openxmlformats.org/spreadsheetml/2006/main" count="839" uniqueCount="486">
  <si>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</si>
  <si>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</si>
  <si>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</si>
  <si>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</si>
  <si>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</si>
  <si>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</si>
  <si>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</si>
  <si>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</si>
  <si>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</si>
  <si>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</si>
  <si>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</si>
  <si>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</si>
  <si>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</si>
  <si>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</si>
  <si>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</si>
  <si>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</si>
  <si>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</si>
  <si>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</si>
  <si>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</si>
  <si>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</si>
  <si>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</si>
  <si>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</si>
  <si>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</si>
  <si>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</si>
  <si>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</si>
  <si>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</si>
  <si>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</si>
  <si>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</si>
  <si>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</si>
  <si>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</si>
  <si>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</si>
  <si>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</si>
  <si>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</si>
  <si>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</si>
  <si>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</si>
  <si>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</si>
  <si>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</si>
  <si>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</si>
  <si>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</si>
  <si>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</si>
  <si>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</si>
  <si>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</si>
  <si>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</si>
  <si>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</si>
  <si>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</si>
  <si>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</si>
  <si>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</si>
  <si>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</si>
  <si>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</si>
  <si>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</si>
  <si>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</si>
  <si>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</si>
  <si>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</si>
  <si>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</si>
  <si>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</si>
  <si>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</si>
  <si>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</si>
  <si>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</si>
  <si>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</si>
  <si>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</si>
  <si>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</si>
  <si>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</si>
  <si>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</si>
  <si>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</si>
  <si>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</si>
  <si>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</si>
  <si>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</si>
  <si>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</si>
  <si>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</si>
  <si>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</si>
  <si>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</si>
  <si>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</si>
  <si>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</si>
  <si>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</si>
  <si>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</si>
  <si>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</si>
  <si>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</si>
  <si>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</si>
  <si>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</si>
  <si>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</si>
  <si>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</si>
  <si>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</si>
  <si>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</si>
  <si>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</si>
  <si>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</si>
  <si>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</si>
  <si>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</si>
  <si>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</si>
  <si>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</si>
  <si>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</si>
  <si>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</si>
  <si>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</si>
  <si>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</si>
  <si>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</si>
  <si>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</si>
  <si>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</si>
  <si>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</si>
  <si>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</si>
  <si>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</si>
  <si>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</si>
  <si>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</si>
  <si>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</si>
  <si>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</si>
  <si>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</si>
  <si>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</si>
  <si>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</si>
  <si>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</si>
  <si>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</si>
  <si>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</si>
  <si>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</si>
  <si>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</si>
  <si>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</si>
  <si>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</si>
  <si>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</si>
  <si>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</si>
  <si>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</si>
  <si>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</si>
  <si>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</si>
  <si>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</si>
  <si>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</si>
  <si>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</si>
  <si>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</si>
  <si>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</si>
  <si>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</si>
  <si>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</si>
  <si>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</si>
  <si>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</si>
  <si>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</si>
  <si>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</si>
  <si>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</si>
  <si>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</si>
  <si>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</si>
  <si>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</si>
  <si>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</si>
  <si>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</si>
  <si>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</si>
  <si>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</si>
  <si>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</si>
  <si>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</si>
  <si>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</si>
  <si>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</si>
  <si>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</si>
  <si>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</si>
  <si>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</si>
  <si>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</si>
  <si>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</si>
  <si>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</si>
  <si>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</si>
  <si>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</si>
  <si>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</si>
  <si>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</si>
  <si>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</si>
  <si>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</si>
  <si>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</si>
  <si>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</si>
  <si>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</si>
  <si>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</si>
  <si>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</si>
  <si>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</si>
  <si>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</si>
  <si>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</si>
  <si>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</si>
  <si>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</si>
  <si>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</si>
  <si>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</si>
  <si>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</si>
  <si>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</si>
  <si>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</si>
  <si>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</si>
  <si>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</si>
  <si>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</si>
  <si>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</si>
  <si>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</si>
  <si>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</si>
  <si>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</si>
  <si>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</si>
  <si>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</si>
  <si>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</si>
  <si>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</si>
  <si>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</si>
  <si>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</si>
  <si>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</si>
  <si>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</si>
  <si>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</si>
  <si>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</si>
  <si>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</si>
  <si>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</si>
  <si>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</si>
  <si>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</si>
  <si>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</si>
  <si>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</si>
  <si>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</si>
  <si>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</si>
  <si>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</si>
  <si>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</si>
  <si>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</si>
  <si>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</si>
  <si>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</si>
  <si>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</si>
  <si>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</si>
  <si>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</si>
  <si>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</si>
  <si>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</si>
  <si>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</si>
  <si>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</si>
  <si>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</si>
  <si>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</si>
  <si>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</si>
  <si>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</si>
  <si>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</si>
  <si>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</si>
  <si>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</si>
  <si>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</si>
  <si>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</si>
  <si>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</si>
  <si>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</si>
  <si>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</si>
  <si>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</si>
  <si>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</si>
  <si>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</si>
  <si>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</si>
  <si>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</si>
  <si>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</si>
  <si>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</si>
  <si>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</si>
  <si>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</si>
  <si>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</si>
  <si>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</si>
  <si>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</si>
  <si>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</si>
  <si>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</si>
  <si>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</si>
  <si>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</si>
  <si>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</si>
  <si>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</si>
  <si>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</si>
  <si>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</si>
  <si>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</si>
  <si>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</si>
  <si>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</si>
  <si>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</si>
  <si>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</si>
  <si>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</si>
  <si>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</si>
  <si>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</si>
  <si>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</si>
  <si>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</si>
  <si>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</si>
  <si>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</si>
  <si>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</si>
  <si>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</si>
  <si>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</si>
  <si>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</si>
  <si>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</si>
  <si>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</si>
  <si>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</si>
  <si>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</si>
  <si>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</si>
  <si>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</si>
  <si>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</si>
  <si>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</si>
  <si>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</si>
  <si>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</si>
  <si>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</si>
  <si>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</si>
  <si>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</si>
  <si>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</si>
  <si>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</si>
  <si>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</si>
  <si>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</si>
  <si>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</si>
  <si>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</si>
  <si>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</si>
  <si>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</si>
  <si>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</si>
  <si>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</si>
  <si>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</si>
  <si>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</si>
  <si>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</si>
  <si>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</si>
  <si>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</si>
  <si>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</si>
  <si>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</si>
  <si>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</si>
  <si>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</si>
  <si>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</si>
  <si>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</si>
  <si>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</si>
  <si>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</si>
  <si>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</si>
  <si>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</si>
  <si>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</si>
  <si>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</si>
  <si>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</si>
  <si>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</si>
  <si>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</si>
  <si>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</si>
  <si>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</si>
  <si>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</si>
  <si>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</si>
  <si>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</si>
  <si>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</si>
  <si>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</si>
  <si>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</si>
  <si>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</si>
  <si>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</si>
  <si>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</si>
  <si>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</si>
  <si>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</si>
  <si>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</si>
  <si>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</si>
  <si>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</si>
  <si>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</si>
  <si>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</si>
  <si>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</si>
  <si>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</si>
  <si>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</si>
  <si>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</si>
  <si>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</si>
  <si>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</si>
  <si>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</si>
  <si>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</si>
  <si>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</si>
  <si>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</si>
  <si>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</si>
  <si>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</si>
  <si>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</si>
  <si>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</si>
  <si>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</si>
  <si>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</si>
  <si>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</si>
  <si>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</si>
  <si>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</si>
  <si>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</si>
  <si>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</si>
  <si>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</si>
  <si>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</si>
  <si>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</si>
  <si>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</si>
  <si>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</si>
  <si>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</si>
  <si>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</si>
  <si>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</si>
  <si>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</si>
  <si>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</si>
  <si>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</si>
  <si>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</si>
  <si>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</si>
  <si>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</si>
  <si>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</si>
  <si>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</si>
  <si>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</si>
  <si>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</si>
  <si>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</si>
  <si>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</si>
  <si>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</si>
  <si>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</si>
  <si>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</si>
  <si>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</si>
  <si>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</si>
  <si>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</si>
  <si>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</si>
  <si>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</si>
  <si>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</si>
  <si>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</si>
  <si>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</si>
  <si>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</si>
  <si>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</si>
  <si>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</si>
  <si>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</si>
  <si>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</si>
  <si>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</si>
  <si>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</si>
  <si>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</si>
  <si>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</si>
  <si>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</si>
  <si>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</si>
  <si>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</si>
  <si>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</si>
  <si>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</si>
  <si>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</si>
  <si>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</si>
  <si>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</si>
  <si>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</si>
  <si>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</si>
  <si>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</si>
  <si>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</si>
  <si>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</si>
  <si>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</si>
  <si>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</si>
  <si>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</si>
  <si>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</si>
  <si>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</si>
  <si>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</si>
  <si>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</si>
  <si>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</si>
  <si>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</si>
  <si>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</si>
  <si>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</si>
  <si>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FINAL ROUND LIVE (Sun ~8:20 AM CT; Golf Monthly final-round live blog ~12:24 PM local): Burns −10 leads Fox &amp; Si Woo Kim (−8) into the 2:20 PM local final pairing; early movers Cameron Young (three opening birdies, −6) and Fowler (5-under thru 17). OUR CARD: Scheffler opened birdie-birdie to −4 (six back, top-10 hunt alive); Rahm OB on 1 for the second straight day, down to −2 (outright dead, top-10 the fight); Fleetwood in his opening holes; Morikawa mid-round; Koepka finishing from eleven back. Fitzpatrick MC = $150 dead. GRADE rows 7-17 tonight only, off the verified final board (two agreeing sources, explicit 2026 dating).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</si>
  <si>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</si>
  <si>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</si>
  <si>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</si>
  <si>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</si>
  <si>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</si>
  <si>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</si>
  <si>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</si>
  <si>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</si>
  <si>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</si>
  <si>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</si>
  <si>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</si>
  <si>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</si>
  <si>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</si>
  <si>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</si>
  <si>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</si>
  <si>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</si>
  <si>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</si>
  <si>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</si>
  <si>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</si>
  <si>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</si>
  <si>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</si>
  <si>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</si>
  <si>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</si>
  <si>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</si>
  <si>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</si>
  <si>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</si>
  <si>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</si>
  <si>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</si>
  <si>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</si>
  <si>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</si>
  <si>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</si>
  <si>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</si>
  <si>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</si>
  <si>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</si>
  <si>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</si>
  <si>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</si>
  <si>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</si>
  <si>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</si>
  <si>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</si>
  <si>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</si>
  <si>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</si>
  <si>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</si>
  <si>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</si>
  <si>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</si>
  <si>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</si>
  <si>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</si>
  <si>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</si>
  <si>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</si>
  <si>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</si>
  <si>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</si>
  <si>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</si>
  <si>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</si>
  <si>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</si>
  <si>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</si>
  <si>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</si>
  <si>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</si>
  <si>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</si>
  <si>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</si>
  <si>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</si>
  <si>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</si>
  <si>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</si>
  <si>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</si>
  <si>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</si>
  <si>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</si>
  <si>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</si>
  <si>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</si>
  <si>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</si>
  <si>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</si>
  <si>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</si>
  <si>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</si>
  <si>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</si>
  <si>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</si>
  <si>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</si>
  <si>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SETTLED — swept the card 3-for-3: Georgia 49-22 Chile, USA 29-22 Spain; LONGSHOT parlay (+263) HIT. Card +$600.47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</si>
  <si>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</si>
  <si>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</si>
  <si>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</si>
  <si>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</si>
  <si>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</si>
  <si>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 · GRADED Sat Jul 18: Georgia 49-22 Chile (FT, covered -12.5 by 14.5) — RugbyPass + UltimateRugby agree</t>
  </si>
  <si>
    <t xml:space="preserve">USA -3.5</t>
  </si>
  <si>
    <t xml:space="preserve">USA vs Spain · ~6:30 PM CT</t>
  </si>
  <si>
    <t xml:space="preserve">Centerpiece — USA 2-0, backed to cover vs inconsistent Spain · GRADED Sat Jul 18: USA 29-22 Spain (FT, won by 7, covered -3.5) — Sky Sports + UltimateRugby agree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</si>
  <si>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</si>
  <si>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</si>
  <si>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 · Leg 1 (Georgia -12.5) WON 49-22; rides on USA -3.5 · GRADED Sat Jul 18: Leg 2 (USA -3.5) WON 29-22 — PARLAY HITS at +263, first longshot HIT of the test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</si>
</sst>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-1455.84668219211</v>
      </c>
    </row>
    <row r="7" customFormat="false" ht="15" hidden="false" customHeight="true" outlineLevel="0" collapsed="false">
      <c r="A7" s="5" t="s">
        <v>5</v>
      </c>
      <c r="B7" s="8" t="n">
        <f aca="false">B5+B6</f>
        <v>3544.15331780789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2544.15331780789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14" t="n">
        <v>7</v>
      </c>
      <c r="B19" s="15" t="s">
        <v>28</v>
      </c>
      <c r="C19" s="14" t="s">
        <v>29</v>
      </c>
      <c r="D19" s="16" t="s">
        <v>22</v>
      </c>
      <c r="E19" s="17" t="n">
        <f aca="false">SUM('Rugby Jul 18'!F7:F9)</f>
        <v>550</v>
      </c>
      <c r="F19" s="17" t="n">
        <f aca="false">SUMIF('Rugby Jul 18'!I7:I9,"Pending",'Rugby Jul 18'!F7:F9)</f>
        <v>0</v>
      </c>
      <c r="G19" s="17" t="n">
        <f aca="false">SUM('Rugby Jul 18'!J7:J9)</f>
        <v>1150.46994266994</v>
      </c>
      <c r="H19" s="17" t="n">
        <f aca="false">SUM('Rugby Jul 18'!K7:K9)</f>
        <v>600.469942669943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1000</v>
      </c>
      <c r="G25" s="8" t="n">
        <f aca="false">SUM(G16:G24)</f>
        <v>6144.15331780789</v>
      </c>
      <c r="H25" s="8" t="n">
        <f aca="false">SUM(H16:H24)</f>
        <v>-1455.84668219211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HIT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1-for-7 (14%)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88</v>
      </c>
      <c r="J7" s="37" t="n">
        <f aca="false">IF(I7="Win",F7+G7,IF(I7="Push",F7,IF(I7="Loss",0,0)))</f>
        <v>646.306306306306</v>
      </c>
      <c r="K7" s="39" t="n">
        <f aca="false">IF(I7="Pending",0,J7-F7)</f>
        <v>306.306306306306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88</v>
      </c>
      <c r="J8" s="37" t="n">
        <f aca="false">IF(I8="Win",F8+G8,IF(I8="Push",F8,IF(I8="Loss",0,0)))</f>
        <v>286.363636363636</v>
      </c>
      <c r="K8" s="39" t="n">
        <f aca="false">IF(I8="Pending",0,J8-F8)</f>
        <v>136.363636363636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88</v>
      </c>
      <c r="J9" s="37" t="n">
        <f aca="false">IF(I9="Win",F9+G9,IF(I9="Push",F9,IF(I9="Loss",0,0)))</f>
        <v>217.8</v>
      </c>
      <c r="K9" s="39" t="n">
        <f aca="false">IF(I9="Pending",0,J9-F9)</f>
        <v>157.8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1150.46994266994</v>
      </c>
      <c r="K10" s="8" t="n">
        <f aca="false">SUM(K7:K9)</f>
        <v>600.469942669943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2026-07-19T13:15:39Z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