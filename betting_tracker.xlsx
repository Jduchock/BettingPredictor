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<sst xmlns="http://schemas.openxmlformats.org/spreadsheetml/2006/main" count="839" uniqueCount="487">
  <si>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</si>
  <si>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</si>
  <si>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</si>
  <si>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</si>
  <si>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</si>
  <si>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</si>
  <si>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</si>
  <si>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</si>
  <si>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</si>
  <si>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</si>
  <si>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</si>
  <si>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</si>
  <si>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</si>
  <si>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</si>
  <si>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</si>
  <si>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</si>
  <si>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</si>
  <si>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</si>
  <si>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</si>
  <si>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</si>
  <si>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</si>
  <si>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</si>
  <si>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</si>
  <si>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</si>
  <si>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</si>
  <si>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</si>
  <si>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</si>
  <si>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</si>
  <si>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</si>
  <si>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</si>
  <si>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</si>
  <si>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</si>
  <si>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</si>
  <si>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</si>
  <si>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</si>
  <si>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</si>
  <si>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</si>
  <si>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</si>
  <si>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</si>
  <si>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</si>
  <si>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</si>
  <si>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</si>
  <si>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</si>
  <si>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</si>
  <si>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</si>
  <si>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</si>
  <si>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</si>
  <si>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</si>
  <si>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</si>
  <si>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</si>
  <si>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</si>
  <si>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</si>
  <si>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</si>
  <si>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</si>
  <si>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</si>
  <si>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</si>
  <si>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</si>
  <si>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</si>
  <si>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</si>
  <si>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</si>
  <si>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</si>
  <si>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</si>
  <si>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</si>
  <si>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</si>
  <si>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</si>
  <si>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</si>
  <si>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</si>
  <si>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</si>
  <si>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</si>
  <si>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</si>
  <si>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</si>
  <si>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</si>
  <si>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</si>
  <si>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</si>
  <si>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</si>
  <si>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</si>
  <si>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</si>
  <si>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</si>
  <si>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</si>
  <si>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</si>
  <si>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</si>
  <si>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</si>
  <si>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</si>
  <si>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</si>
  <si>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</si>
  <si>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</si>
  <si>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</si>
  <si>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</si>
  <si>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</si>
  <si>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</si>
  <si>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</si>
  <si>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</si>
  <si>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</si>
  <si>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</si>
  <si>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</si>
  <si>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</si>
  <si>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</si>
  <si>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</si>
  <si>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</si>
  <si>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</si>
  <si>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</si>
  <si>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</si>
  <si>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</si>
  <si>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</si>
  <si>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</si>
  <si>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</si>
  <si>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</si>
  <si>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</si>
  <si>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</si>
  <si>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</si>
  <si>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</si>
  <si>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</si>
  <si>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</si>
  <si>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</si>
  <si>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</si>
  <si>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</si>
  <si>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</si>
  <si>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</si>
  <si>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</si>
  <si>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</si>
  <si>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</si>
  <si>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</si>
  <si>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</si>
  <si>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</si>
  <si>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</si>
  <si>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</si>
  <si>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</si>
  <si>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</si>
  <si>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</si>
  <si>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</si>
  <si>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</si>
  <si>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</si>
  <si>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</si>
  <si>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</si>
  <si>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</si>
  <si>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</si>
  <si>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</si>
  <si>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</si>
  <si>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</si>
  <si>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</si>
  <si>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</si>
  <si>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</si>
  <si>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</si>
  <si>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</si>
  <si>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</si>
  <si>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</si>
  <si>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</si>
  <si>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</si>
  <si>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</si>
  <si>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</si>
  <si>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</si>
  <si>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</si>
  <si>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</si>
  <si>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</si>
  <si>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</si>
  <si>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</si>
  <si>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</si>
  <si>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</si>
  <si>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</si>
  <si>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</si>
  <si>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</si>
  <si>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</si>
  <si>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</si>
  <si>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</si>
  <si>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</si>
  <si>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</si>
  <si>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</si>
  <si>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</si>
  <si>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</si>
  <si>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</si>
  <si>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</si>
  <si>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</si>
  <si>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</si>
  <si>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</si>
  <si>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</si>
  <si>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</si>
  <si>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</si>
  <si>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</si>
  <si>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</si>
  <si>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</si>
  <si>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</si>
  <si>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</si>
  <si>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</si>
  <si>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</si>
  <si>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</si>
  <si>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</si>
  <si>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</si>
  <si>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</si>
  <si>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</si>
  <si>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</si>
  <si>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</si>
  <si>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</si>
  <si>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</si>
  <si>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</si>
  <si>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</si>
  <si>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</si>
  <si>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</si>
  <si>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</si>
  <si>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</si>
  <si>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</si>
  <si>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</si>
  <si>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</si>
  <si>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</si>
  <si>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</si>
  <si>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</si>
  <si>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</si>
  <si>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</si>
  <si>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</si>
  <si>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</si>
  <si>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</si>
  <si>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</si>
  <si>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</si>
  <si>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</si>
  <si>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</si>
  <si>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</si>
  <si>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</si>
  <si>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</si>
  <si>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</si>
  <si>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</si>
  <si>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</si>
  <si>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</si>
  <si>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</si>
  <si>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</si>
  <si>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</si>
  <si>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</si>
  <si>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</si>
  <si>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</si>
  <si>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</si>
  <si>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</si>
  <si>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</si>
  <si>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</si>
  <si>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</si>
  <si>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</si>
  <si>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</si>
  <si>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</si>
  <si>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</si>
  <si>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</si>
  <si>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</si>
  <si>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</si>
  <si>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</si>
  <si>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</si>
  <si>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</si>
  <si>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</si>
  <si>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</si>
  <si>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</si>
  <si>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</si>
  <si>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</si>
  <si>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</si>
  <si>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</si>
  <si>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</si>
  <si>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</si>
  <si>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</si>
  <si>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</si>
  <si>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</si>
  <si>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</si>
  <si>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</si>
  <si>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</si>
  <si>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</si>
  <si>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</si>
  <si>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</si>
  <si>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</si>
  <si>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</si>
  <si>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</si>
  <si>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</si>
  <si>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</si>
  <si>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</si>
  <si>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</si>
  <si>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</si>
  <si>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</si>
  <si>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</si>
  <si>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</si>
  <si>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</si>
  <si>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</si>
  <si>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</si>
  <si>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</si>
  <si>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</si>
  <si>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</si>
  <si>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</si>
  <si>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</si>
  <si>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</si>
  <si>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</si>
  <si>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</si>
  <si>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</si>
  <si>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</si>
  <si>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</si>
  <si>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</si>
  <si>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</si>
  <si>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</si>
  <si>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</si>
  <si>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</si>
  <si>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</si>
  <si>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</si>
  <si>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</si>
  <si>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</si>
  <si>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</si>
  <si>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</si>
  <si>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</si>
  <si>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</si>
  <si>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</si>
  <si>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</si>
  <si>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</si>
  <si>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</si>
  <si>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</si>
  <si>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</si>
  <si>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</si>
  <si>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</si>
  <si>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</si>
  <si>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</si>
  <si>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</si>
  <si>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</si>
  <si>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</si>
  <si>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</si>
  <si>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</si>
  <si>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</si>
  <si>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</si>
  <si>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</si>
  <si>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</si>
  <si>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</si>
  <si>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</si>
  <si>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</si>
  <si>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</si>
  <si>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</si>
  <si>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</si>
  <si>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</si>
  <si>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</si>
  <si>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</si>
  <si>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</si>
  <si>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</si>
  <si>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</si>
  <si>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</si>
  <si>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</si>
  <si>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</si>
  <si>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</si>
  <si>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</si>
  <si>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</si>
  <si>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</si>
  <si>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</si>
  <si>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</si>
  <si>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</si>
  <si>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</si>
  <si>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</si>
  <si>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</si>
  <si>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</si>
  <si>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</si>
  <si>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</si>
  <si>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</si>
  <si>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</si>
  <si>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</si>
  <si>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</si>
  <si>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</si>
  <si>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</si>
  <si>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</si>
  <si>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</si>
  <si>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</si>
  <si>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</si>
  <si>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</si>
  <si>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</si>
  <si>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</si>
  <si>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</si>
  <si>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</si>
  <si>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</si>
  <si>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</si>
  <si>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</si>
  <si>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</si>
  <si>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</si>
  <si>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</si>
  <si>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</si>
  <si>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</si>
  <si>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</si>
  <si>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</si>
  <si>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</si>
  <si>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</si>
  <si>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</si>
  <si>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</si>
  <si>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</si>
  <si>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</si>
  <si>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</si>
  <si>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</si>
  <si>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</si>
  <si>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</si>
  <si>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</si>
  <si>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</si>
  <si>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</si>
  <si>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</si>
  <si>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</si>
  <si>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</si>
  <si>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</si>
  <si>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</si>
  <si>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</si>
  <si>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</si>
  <si>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</si>
  <si>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</si>
  <si>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</si>
  <si>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</si>
  <si>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</si>
  <si>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</si>
  <si>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</si>
  <si>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</si>
  <si>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</si>
  <si>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R3 MID-ROUND Sat Jul 18 (3:10 PM UK): Ryan Fox posts a record-tying 62 (nine birdies, one bogey) — now −8 with a SHARE OF THE LEAD; Herbert −8 tees off 3:50 PM UK (Yahoo Sports + Central Oregon Daily live board agree). DeChambeau −5. Our card: Scheffler/Rahm/Fleetwood all −4 (T10), just teed off 2:35–2:45 PM UK; JT also −4 thru 10; Morikawa and Koepka outside the live top 10 — Koepka +5000 needs a big weekend. Fitzpatrick MC $150 dead. Grades Sunday only.</t>
  </si>
  <si>
    <t xml:space="preserve">STATUS: ACTIVE — R2 COMPLETE Fri Jul 17 (10:20 PM UK): Herbert −8 leads (70-62); DeChambeau −7 solo 2nd after 2-stroke penalty; Suber/Young −6, Burns −5. Our card: Scheffler −4 four back (2-source); Rahm −4, Fleetwood −3 (GM, single-source); cut +1 — Fitzpatrick +4 MISSED CUT ($150 dead). Morikawa/Koepka unconfirmed. Grades Sunday.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</si>
  <si>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</si>
  <si>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</si>
  <si>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</si>
  <si>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</si>
  <si>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</si>
  <si>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</si>
  <si>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</si>
  <si>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</si>
  <si>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</si>
  <si>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</si>
  <si>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</si>
  <si>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</si>
  <si>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</si>
  <si>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</si>
  <si>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</si>
  <si>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</si>
  <si>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</si>
  <si>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</si>
  <si>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</si>
  <si>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</si>
  <si>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</si>
  <si>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</si>
  <si>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</si>
  <si>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</si>
  <si>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</si>
  <si>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</si>
  <si>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</si>
  <si>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</si>
  <si>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</si>
  <si>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</si>
  <si>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</si>
  <si>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</si>
  <si>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</si>
  <si>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</si>
  <si>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</si>
  <si>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</si>
  <si>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</si>
  <si>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</si>
  <si>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</si>
  <si>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</si>
  <si>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</si>
  <si>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</si>
  <si>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</si>
  <si>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</si>
  <si>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</si>
  <si>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</si>
  <si>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</si>
  <si>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</si>
  <si>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</si>
  <si>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</si>
  <si>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</si>
  <si>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</si>
  <si>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</si>
  <si>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</si>
  <si>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</si>
  <si>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</si>
  <si>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</si>
  <si>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</si>
  <si>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</si>
  <si>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</si>
  <si>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</si>
  <si>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</si>
  <si>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</si>
  <si>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</si>
  <si>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</si>
  <si>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</si>
  <si>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</si>
  <si>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</si>
  <si>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</si>
  <si>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</si>
  <si>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</si>
  <si>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</si>
  <si>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</si>
  <si>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ACTIVE — settles Sat night Jul 18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</si>
  <si>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</si>
  <si>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</si>
  <si>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</si>
  <si>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</si>
  <si>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</si>
  <si>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</t>
  </si>
  <si>
    <t xml:space="preserve">USA -3.5</t>
  </si>
  <si>
    <t xml:space="preserve">USA vs Spain · ~6:30 PM CT</t>
  </si>
  <si>
    <t xml:space="preserve">Centerpiece — USA 2-0, backed to cover vs inconsistent Spain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</si>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</sst>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1550</v>
      </c>
    </row>
    <row r="9" customFormat="false" ht="15" hidden="false" customHeight="true" outlineLevel="0" collapsed="false">
      <c r="A9" s="5" t="s">
        <v>7</v>
      </c>
      <c r="B9" s="8" t="n">
        <f aca="false">B7-B8</f>
        <v>1393.68337513795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28</v>
      </c>
      <c r="C19" s="20" t="s">
        <v>29</v>
      </c>
      <c r="D19" s="22" t="s">
        <v>27</v>
      </c>
      <c r="E19" s="23" t="n">
        <f aca="false">SUM('Rugby Jul 18'!F7:F9)</f>
        <v>550</v>
      </c>
      <c r="F19" s="23" t="n">
        <f aca="false">SUMIF('Rugby Jul 18'!I7:I9,"Pending",'Rugby Jul 18'!F7:F9)</f>
        <v>550</v>
      </c>
      <c r="G19" s="23" t="n">
        <f aca="false">SUM('Rugby Jul 18'!J7:J9)</f>
        <v>0</v>
      </c>
      <c r="H19" s="23" t="n">
        <f aca="false">SUM('Rugby Jul 18'!K7:K9)</f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1550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403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404</v>
      </c>
    </row>
    <row r="8" customFormat="false" ht="15" hidden="false" customHeight="true" outlineLevel="0" collapsed="false">
      <c r="A8" s="29" t="n">
        <v>2</v>
      </c>
      <c r="B8" s="5" t="s">
        <v>405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406</v>
      </c>
    </row>
    <row r="9" customFormat="false" ht="15" hidden="false" customHeight="true" outlineLevel="0" collapsed="false">
      <c r="A9" s="29" t="n">
        <v>3</v>
      </c>
      <c r="B9" s="5" t="s">
        <v>407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408</v>
      </c>
    </row>
    <row r="10" customFormat="false" ht="15" hidden="false" customHeight="true" outlineLevel="0" collapsed="false">
      <c r="A10" s="29" t="n">
        <v>4</v>
      </c>
      <c r="B10" s="5" t="s">
        <v>409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410</v>
      </c>
    </row>
    <row r="11" customFormat="false" ht="15" hidden="false" customHeight="true" outlineLevel="0" collapsed="false">
      <c r="A11" s="29" t="n">
        <v>5</v>
      </c>
      <c r="B11" s="5" t="s">
        <v>411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412</v>
      </c>
    </row>
    <row r="12" customFormat="false" ht="15" hidden="false" customHeight="true" outlineLevel="0" collapsed="false">
      <c r="A12" s="29" t="n">
        <v>6</v>
      </c>
      <c r="B12" s="5" t="s">
        <v>413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414</v>
      </c>
    </row>
    <row r="13" customFormat="false" ht="15" hidden="false" customHeight="true" outlineLevel="0" collapsed="false">
      <c r="A13" s="70" t="n">
        <v>7</v>
      </c>
      <c r="B13" s="71" t="s">
        <v>415</v>
      </c>
      <c r="C13" s="72" t="s">
        <v>416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417</v>
      </c>
    </row>
    <row r="14" customFormat="false" ht="15" hidden="false" customHeight="true" outlineLevel="0" collapsed="false">
      <c r="A14" s="29" t="n">
        <v>8</v>
      </c>
      <c r="B14" s="5" t="s">
        <v>418</v>
      </c>
      <c r="C14" s="28" t="s">
        <v>416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419</v>
      </c>
    </row>
    <row r="15" customFormat="false" ht="15" hidden="false" customHeight="true" outlineLevel="0" collapsed="false">
      <c r="A15" s="29" t="n">
        <v>9</v>
      </c>
      <c r="B15" s="5" t="s">
        <v>420</v>
      </c>
      <c r="C15" s="28" t="s">
        <v>416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421</v>
      </c>
    </row>
    <row r="16" customFormat="false" ht="15" hidden="false" customHeight="true" outlineLevel="0" collapsed="false">
      <c r="A16" s="29" t="n">
        <v>10</v>
      </c>
      <c r="B16" s="5" t="s">
        <v>422</v>
      </c>
      <c r="C16" s="28" t="s">
        <v>416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423</v>
      </c>
    </row>
    <row r="17" customFormat="false" ht="15" hidden="false" customHeight="true" outlineLevel="0" collapsed="false">
      <c r="A17" s="29" t="n">
        <v>11</v>
      </c>
      <c r="B17" s="5" t="s">
        <v>424</v>
      </c>
      <c r="C17" s="79" t="s">
        <v>416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425</v>
      </c>
    </row>
    <row r="18" customFormat="false" ht="15" hidden="false" customHeight="true" outlineLevel="0" collapsed="false">
      <c r="B18" s="80" t="s">
        <v>426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427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428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429</v>
      </c>
      <c r="H1" s="82" t="s">
        <v>430</v>
      </c>
    </row>
    <row r="2" customFormat="false" ht="15" hidden="false" customHeight="true" outlineLevel="0" collapsed="false">
      <c r="A2" s="3" t="s">
        <v>431</v>
      </c>
    </row>
    <row r="3" customFormat="false" ht="15" hidden="false" customHeight="true" outlineLevel="0" collapsed="false">
      <c r="A3" s="3" t="s">
        <v>432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433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434</v>
      </c>
    </row>
    <row r="8" customFormat="false" ht="15" hidden="false" customHeight="true" outlineLevel="0" collapsed="false">
      <c r="A8" s="29" t="n">
        <v>2</v>
      </c>
      <c r="B8" s="5" t="s">
        <v>435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436</v>
      </c>
    </row>
    <row r="9" customFormat="false" ht="15" hidden="false" customHeight="true" outlineLevel="0" collapsed="false">
      <c r="A9" s="29" t="n">
        <v>3</v>
      </c>
      <c r="B9" s="5" t="s">
        <v>437</v>
      </c>
      <c r="C9" s="28" t="s">
        <v>438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439</v>
      </c>
    </row>
    <row r="10" customFormat="false" ht="15" hidden="false" customHeight="true" outlineLevel="0" collapsed="false">
      <c r="A10" s="29" t="n">
        <v>4</v>
      </c>
      <c r="B10" s="5" t="s">
        <v>440</v>
      </c>
      <c r="C10" s="28" t="s">
        <v>441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442</v>
      </c>
    </row>
    <row r="11" customFormat="false" ht="15" hidden="false" customHeight="true" outlineLevel="0" collapsed="false">
      <c r="A11" s="29" t="n">
        <v>5</v>
      </c>
      <c r="B11" s="5" t="s">
        <v>443</v>
      </c>
      <c r="C11" s="28" t="s">
        <v>438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444</v>
      </c>
    </row>
    <row r="12" customFormat="false" ht="15" hidden="false" customHeight="true" outlineLevel="0" collapsed="false">
      <c r="A12" s="29" t="n">
        <v>6</v>
      </c>
      <c r="B12" s="5" t="s">
        <v>445</v>
      </c>
      <c r="C12" s="28" t="s">
        <v>446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447</v>
      </c>
    </row>
    <row r="13" customFormat="false" ht="15" hidden="false" customHeight="true" outlineLevel="0" collapsed="false">
      <c r="A13" s="29" t="n">
        <v>7</v>
      </c>
      <c r="B13" s="5" t="s">
        <v>448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449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450</v>
      </c>
      <c r="H1" s="83" t="s">
        <v>451</v>
      </c>
    </row>
    <row r="2" customFormat="false" ht="15" hidden="false" customHeight="true" outlineLevel="0" collapsed="false">
      <c r="A2" s="3" t="s">
        <v>452</v>
      </c>
    </row>
    <row r="3" customFormat="false" ht="15" hidden="false" customHeight="true" outlineLevel="0" collapsed="false">
      <c r="A3" s="3" t="s">
        <v>453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454</v>
      </c>
      <c r="C7" s="28" t="s">
        <v>455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456</v>
      </c>
    </row>
    <row r="8" customFormat="false" ht="15" hidden="false" customHeight="true" outlineLevel="0" collapsed="false">
      <c r="A8" s="29" t="n">
        <v>2</v>
      </c>
      <c r="B8" s="5" t="s">
        <v>457</v>
      </c>
      <c r="C8" s="28" t="s">
        <v>458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459</v>
      </c>
    </row>
    <row r="9" customFormat="false" ht="15" hidden="false" customHeight="true" outlineLevel="0" collapsed="false">
      <c r="A9" s="29" t="n">
        <v>3</v>
      </c>
      <c r="B9" s="5" t="s">
        <v>460</v>
      </c>
      <c r="C9" s="28" t="s">
        <v>461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462</v>
      </c>
    </row>
    <row r="10" customFormat="false" ht="15" hidden="false" customHeight="true" outlineLevel="0" collapsed="false">
      <c r="A10" s="29" t="n">
        <v>4</v>
      </c>
      <c r="B10" s="5" t="s">
        <v>463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464</v>
      </c>
    </row>
    <row r="11" customFormat="false" ht="15" hidden="false" customHeight="true" outlineLevel="0" collapsed="false">
      <c r="A11" s="29" t="n">
        <v>5</v>
      </c>
      <c r="B11" s="5" t="s">
        <v>465</v>
      </c>
      <c r="C11" s="28" t="s">
        <v>466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467</v>
      </c>
    </row>
    <row r="12" customFormat="false" ht="15" hidden="false" customHeight="true" outlineLevel="0" collapsed="false">
      <c r="A12" s="29" t="n">
        <v>6</v>
      </c>
      <c r="B12" s="5" t="s">
        <v>468</v>
      </c>
      <c r="C12" s="28" t="s">
        <v>469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470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471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472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473</v>
      </c>
      <c r="H1" s="84" t="s">
        <v>474</v>
      </c>
    </row>
    <row r="2" customFormat="false" ht="15" hidden="false" customHeight="true" outlineLevel="0" collapsed="false">
      <c r="A2" s="3" t="s">
        <v>475</v>
      </c>
    </row>
    <row r="3" customFormat="false" ht="15" hidden="false" customHeight="true" outlineLevel="0" collapsed="false">
      <c r="A3" s="3" t="s">
        <v>476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477</v>
      </c>
      <c r="C7" s="28" t="s">
        <v>478</v>
      </c>
      <c r="D7" s="29" t="s">
        <v>479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0.6</v>
      </c>
      <c r="M7" s="58" t="s">
        <v>480</v>
      </c>
    </row>
    <row r="8" customFormat="false" ht="15" hidden="false" customHeight="true" outlineLevel="0" collapsed="false">
      <c r="A8" s="29" t="n">
        <v>2</v>
      </c>
      <c r="B8" s="5" t="s">
        <v>481</v>
      </c>
      <c r="C8" s="28" t="s">
        <v>482</v>
      </c>
      <c r="D8" s="29" t="s">
        <v>479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0.54</v>
      </c>
      <c r="M8" s="58" t="s">
        <v>483</v>
      </c>
    </row>
    <row r="9" customFormat="false" ht="15" hidden="false" customHeight="true" outlineLevel="0" collapsed="false">
      <c r="A9" s="29" t="n">
        <v>3</v>
      </c>
      <c r="B9" s="5" t="s">
        <v>484</v>
      </c>
      <c r="C9" s="28" t="s">
        <v>485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0.32</v>
      </c>
      <c r="M9" s="58" t="s">
        <v>486</v>
      </c>
    </row>
    <row r="10" customFormat="false" ht="15" hidden="false" customHeight="true" outlineLevel="0" collapsed="false">
      <c r="B10" s="4" t="s">
        <v>426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0</v>
      </c>
      <c r="K10" s="8" t="n">
        <f aca="false">SUM(K7:K9)</f>
        <v>0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2026-07-18T14:10:22Z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