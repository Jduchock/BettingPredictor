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<sst xmlns="http://schemas.openxmlformats.org/spreadsheetml/2006/main" count="839" uniqueCount="486">
  <si>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</si>
  <si>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</si>
  <si>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</si>
  <si>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</si>
  <si>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</si>
  <si>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</si>
  <si>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</si>
  <si>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</si>
  <si>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</si>
  <si>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</si>
  <si>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</si>
  <si>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</si>
  <si>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</si>
  <si>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</si>
  <si>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</si>
  <si>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</si>
  <si>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</si>
  <si>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</si>
  <si>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</si>
  <si>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</si>
  <si>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</si>
  <si>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</si>
  <si>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</si>
  <si>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</si>
  <si>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</si>
  <si>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</si>
  <si>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</si>
  <si>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</si>
  <si>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</si>
  <si>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</si>
  <si>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</si>
  <si>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</si>
  <si>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</si>
  <si>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</si>
  <si>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</si>
  <si>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</si>
  <si>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</si>
  <si>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</si>
  <si>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</si>
  <si>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</si>
  <si>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</si>
  <si>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</si>
  <si>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</si>
  <si>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</si>
  <si>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</si>
  <si>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</si>
  <si>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</si>
  <si>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</si>
  <si>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</si>
  <si>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</si>
  <si>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</si>
  <si>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</si>
  <si>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</si>
  <si>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</si>
  <si>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</si>
  <si>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</si>
  <si>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</si>
  <si>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</si>
  <si>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</si>
  <si>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</si>
  <si>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</si>
  <si>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</si>
  <si>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</si>
  <si>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</si>
  <si>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</si>
  <si>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</si>
  <si>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</si>
  <si>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</si>
  <si>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</si>
  <si>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</si>
  <si>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</si>
  <si>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</si>
  <si>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</si>
  <si>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</si>
  <si>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</si>
  <si>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</si>
  <si>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</si>
  <si>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</si>
  <si>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</si>
  <si>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</si>
  <si>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</si>
  <si>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</si>
  <si>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</si>
  <si>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</si>
  <si>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</si>
  <si>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</si>
  <si>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</si>
  <si>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</si>
  <si>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</si>
  <si>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</si>
  <si>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</si>
  <si>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</si>
  <si>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</si>
  <si>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</si>
  <si>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</si>
  <si>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</si>
  <si>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</si>
  <si>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</si>
  <si>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</si>
  <si>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</si>
  <si>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</si>
  <si>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</si>
  <si>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</si>
  <si>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</si>
  <si>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</si>
  <si>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</si>
  <si>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</si>
  <si>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</si>
  <si>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</si>
  <si>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</si>
  <si>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</si>
  <si>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</si>
  <si>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</si>
  <si>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</si>
  <si>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</si>
  <si>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</si>
  <si>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</si>
  <si>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</si>
  <si>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</si>
  <si>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</si>
  <si>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</si>
  <si>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</si>
  <si>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</si>
  <si>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</si>
  <si>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</si>
  <si>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</si>
  <si>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</si>
  <si>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</si>
  <si>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</si>
  <si>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</si>
  <si>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</si>
  <si>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</si>
  <si>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</si>
  <si>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</si>
  <si>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</si>
  <si>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</si>
  <si>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</si>
  <si>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</si>
  <si>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</si>
  <si>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</si>
  <si>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</si>
  <si>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</si>
  <si>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</si>
  <si>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</si>
  <si>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</si>
  <si>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</si>
  <si>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</si>
  <si>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</si>
  <si>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</si>
  <si>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</si>
  <si>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</si>
  <si>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</si>
  <si>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</si>
  <si>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</si>
  <si>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</si>
  <si>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</si>
  <si>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</si>
  <si>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</si>
  <si>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</si>
  <si>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</si>
  <si>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</si>
  <si>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</si>
  <si>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</si>
  <si>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</si>
  <si>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</si>
  <si>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</si>
  <si>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</si>
  <si>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</si>
  <si>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</si>
  <si>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</si>
  <si>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</si>
  <si>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</si>
  <si>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</si>
  <si>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</si>
  <si>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</si>
  <si>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</si>
  <si>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</si>
  <si>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</si>
  <si>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</si>
  <si>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</si>
  <si>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</si>
  <si>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</si>
  <si>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</si>
  <si>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</si>
  <si>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</si>
  <si>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</si>
  <si>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</si>
  <si>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</si>
  <si>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</si>
  <si>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</si>
  <si>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</si>
  <si>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</si>
  <si>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</si>
  <si>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</si>
  <si>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</si>
  <si>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</si>
  <si>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</si>
  <si>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</si>
  <si>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</si>
  <si>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</si>
  <si>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</si>
  <si>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</si>
  <si>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</si>
  <si>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</si>
  <si>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</si>
  <si>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</si>
  <si>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</si>
  <si>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</si>
  <si>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</si>
  <si>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</si>
  <si>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</si>
  <si>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</si>
  <si>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</si>
  <si>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</si>
  <si>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</si>
  <si>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</si>
  <si>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</si>
  <si>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</si>
  <si>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</si>
  <si>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</si>
  <si>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</si>
  <si>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</si>
  <si>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</si>
  <si>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</si>
  <si>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</si>
  <si>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</si>
  <si>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</si>
  <si>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</si>
  <si>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</si>
  <si>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</si>
  <si>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</si>
  <si>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</si>
  <si>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</si>
  <si>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</si>
  <si>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</si>
  <si>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</si>
  <si>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</si>
  <si>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</si>
  <si>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</si>
  <si>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</si>
  <si>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</si>
  <si>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</si>
  <si>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</si>
  <si>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</si>
  <si>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</si>
  <si>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</si>
  <si>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</si>
  <si>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</si>
  <si>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</si>
  <si>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</si>
  <si>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</si>
  <si>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</si>
  <si>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</si>
  <si>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</si>
  <si>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</si>
  <si>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</si>
  <si>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</si>
  <si>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</si>
  <si>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</si>
  <si>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</si>
  <si>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</si>
  <si>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</si>
  <si>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</si>
  <si>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</si>
  <si>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</si>
  <si>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</si>
  <si>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</si>
  <si>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</si>
  <si>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</si>
  <si>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</si>
  <si>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</si>
  <si>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</si>
  <si>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</si>
  <si>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</si>
  <si>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</si>
  <si>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</si>
  <si>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</si>
  <si>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</si>
  <si>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</si>
  <si>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</si>
  <si>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</si>
  <si>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</si>
  <si>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</si>
  <si>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</si>
  <si>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</si>
  <si>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</si>
  <si>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</si>
  <si>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</si>
  <si>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</si>
  <si>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</si>
  <si>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</si>
  <si>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</si>
  <si>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</si>
  <si>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</si>
  <si>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</si>
  <si>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</si>
  <si>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</si>
  <si>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</si>
  <si>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</si>
  <si>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</si>
  <si>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</si>
  <si>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</si>
  <si>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</si>
  <si>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</si>
  <si>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</si>
  <si>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</si>
  <si>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</si>
  <si>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</si>
  <si>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</si>
  <si>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</si>
  <si>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</si>
  <si>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</si>
  <si>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</si>
  <si>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</si>
  <si>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</si>
  <si>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</si>
  <si>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</si>
  <si>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</si>
  <si>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</si>
  <si>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</si>
  <si>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</si>
  <si>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</si>
  <si>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</si>
  <si>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</si>
  <si>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</si>
  <si>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</si>
  <si>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</si>
  <si>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</si>
  <si>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</si>
  <si>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</si>
  <si>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</si>
  <si>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</si>
  <si>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</si>
  <si>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</si>
  <si>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</si>
  <si>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</si>
  <si>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</si>
  <si>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</si>
  <si>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</si>
  <si>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</si>
  <si>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</si>
  <si>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</si>
  <si>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</si>
  <si>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</si>
  <si>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</si>
  <si>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</si>
  <si>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</si>
  <si>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</si>
  <si>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</si>
  <si>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</si>
  <si>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</si>
  <si>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</si>
  <si>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</si>
  <si>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</si>
  <si>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</si>
  <si>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</si>
  <si>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</si>
  <si>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</si>
  <si>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</si>
  <si>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</si>
  <si>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</si>
  <si>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</si>
  <si>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</si>
  <si>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</si>
  <si>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</si>
  <si>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</si>
  <si>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</si>
  <si>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</si>
  <si>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</si>
  <si>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</si>
  <si>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</si>
  <si>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</si>
  <si>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</si>
  <si>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</si>
  <si>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</si>
  <si>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</si>
  <si>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</si>
  <si>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</si>
  <si>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</si>
  <si>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</si>
  <si>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</si>
  <si>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</si>
  <si>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</si>
  <si>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</si>
  <si>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</si>
  <si>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</si>
  <si>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</si>
  <si>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</si>
  <si>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</si>
  <si>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</si>
  <si>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</si>
  <si>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</si>
  <si>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</si>
  <si>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</si>
  <si>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</si>
  <si>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</si>
  <si>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</si>
  <si>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</si>
  <si>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</si>
  <si>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R3 LATE Sat Jul 18 (8:15 PM UK): Fox pars 18 for a record-tying 62 — clubhouse co-lead with Herbert at −8; Burns &amp; Si Woo Kim slip back ~−5/−6 into the Suber/Young/Gerard chase pack (~−6). OUR CARD: Fleetwood −7 thru 13 on last full board — one-two back; Scheffler ~−4/−5; Rahm ~−3/−4; Morikawa −2; Koepka +1. Grades Sunday only. (Central Oregon Daily + PGA Tour liveblogs agree)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</si>
  <si>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</si>
  <si>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</si>
  <si>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</si>
  <si>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</si>
  <si>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</si>
  <si>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</si>
  <si>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</si>
  <si>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</si>
  <si>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</si>
  <si>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</si>
  <si>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</si>
  <si>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</si>
  <si>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</si>
  <si>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</si>
  <si>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</si>
  <si>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</si>
  <si>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</si>
  <si>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</si>
  <si>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</si>
  <si>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</si>
  <si>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</si>
  <si>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</si>
  <si>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</si>
  <si>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</si>
  <si>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</si>
  <si>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</si>
  <si>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</si>
  <si>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</si>
  <si>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</si>
  <si>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</si>
  <si>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</si>
  <si>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</si>
  <si>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</si>
  <si>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</si>
  <si>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</si>
  <si>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</si>
  <si>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</si>
  <si>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</si>
  <si>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</si>
  <si>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</si>
  <si>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</si>
  <si>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</si>
  <si>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</si>
  <si>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</si>
  <si>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</si>
  <si>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</si>
  <si>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</si>
  <si>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</si>
  <si>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</si>
  <si>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</si>
  <si>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</si>
  <si>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</si>
  <si>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</si>
  <si>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</si>
  <si>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</si>
  <si>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</si>
  <si>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</si>
  <si>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</si>
  <si>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</si>
  <si>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</si>
  <si>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</si>
  <si>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</si>
  <si>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</si>
  <si>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</si>
  <si>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</si>
  <si>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</si>
  <si>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</si>
  <si>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</si>
  <si>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</si>
  <si>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</si>
  <si>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</si>
  <si>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</si>
  <si>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</si>
  <si>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ACTIVE — Georgia leg WON (49-22); USA-Spain ~6:30 PM CT decides card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</si>
  <si>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</si>
  <si>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</si>
  <si>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</si>
  <si>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</si>
  <si>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</si>
  <si>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 · GRADED Sat Jul 18: Georgia 49-22 Chile (FT, covered -12.5 by 14.5) — RugbyPass + UltimateRugby agree</t>
  </si>
  <si>
    <t xml:space="preserve">USA -3.5</t>
  </si>
  <si>
    <t xml:space="preserve">USA vs Spain · ~6:30 PM CT</t>
  </si>
  <si>
    <t xml:space="preserve">Centerpiece — USA 2-0, backed to cover vs inconsistent Spain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</si>
  <si>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</si>
  <si>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</si>
  <si>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 · Leg 1 (Georgia -12.5) WON 49-22; rides on USA -3.5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</si>
</sst>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-1750.01031855575</v>
      </c>
    </row>
    <row r="7" customFormat="false" ht="15" hidden="false" customHeight="true" outlineLevel="0" collapsed="false">
      <c r="A7" s="5" t="s">
        <v>5</v>
      </c>
      <c r="B7" s="8" t="n">
        <f aca="false">B5+B6</f>
        <v>3249.98968144425</v>
      </c>
    </row>
    <row r="8" customFormat="false" ht="15" hidden="false" customHeight="true" outlineLevel="0" collapsed="false">
      <c r="A8" s="5" t="s">
        <v>6</v>
      </c>
      <c r="B8" s="9" t="n">
        <f aca="false">F25</f>
        <v>1210</v>
      </c>
    </row>
    <row r="9" customFormat="false" ht="15" hidden="false" customHeight="true" outlineLevel="0" collapsed="false">
      <c r="A9" s="5" t="s">
        <v>7</v>
      </c>
      <c r="B9" s="8" t="n">
        <f aca="false">B7-B8</f>
        <v>2039.98968144425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2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28</v>
      </c>
      <c r="C19" s="20" t="s">
        <v>29</v>
      </c>
      <c r="D19" s="22" t="s">
        <v>27</v>
      </c>
      <c r="E19" s="23" t="n">
        <f aca="false">SUM('Rugby Jul 18'!F7:F9)</f>
        <v>550</v>
      </c>
      <c r="F19" s="23" t="n">
        <f aca="false">SUMIF('Rugby Jul 18'!I7:I9,"Pending",'Rugby Jul 18'!F7:F9)</f>
        <v>210</v>
      </c>
      <c r="G19" s="23" t="n">
        <f aca="false">SUM('Rugby Jul 18'!J7:J9)</f>
        <v>646.306306306306</v>
      </c>
      <c r="H19" s="23" t="n">
        <f aca="false">SUM('Rugby Jul 18'!K7:K9)</f>
        <v>306.306306306306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1210</v>
      </c>
      <c r="G25" s="8" t="n">
        <f aca="false">SUM(G16:G24)</f>
        <v>5639.98968144425</v>
      </c>
      <c r="H25" s="8" t="n">
        <f aca="false">SUM(H16:H24)</f>
        <v>-1750.01031855575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88</v>
      </c>
      <c r="J7" s="37" t="n">
        <f aca="false">IF(I7="Win",F7+G7,IF(I7="Push",F7,IF(I7="Loss",0,0)))</f>
        <v>646.306306306306</v>
      </c>
      <c r="K7" s="39" t="n">
        <f aca="false">IF(I7="Pending",0,J7-F7)</f>
        <v>306.306306306306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646.306306306306</v>
      </c>
      <c r="K10" s="8" t="n">
        <f aca="false">SUM(K7:K9)</f>
        <v>306.306306306306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2026-07-18T23:10:24Z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